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Editable assumptions" sheetId="1" r:id="rId1"/>
    <sheet name="Unit economics by plan" sheetId="2" r:id="rId2"/>
    <sheet name="Monthly forecast and cash" sheetId="3" r:id="rId3"/>
    <sheet name="Runway summary" sheetId="4" r:id="rId4"/>
    <sheet name="Usage and overage sensitivity" sheetId="5" r:id="rId5"/>
    <sheet name="Month 12 growth scenario compar" sheetId="6" r:id="rId6"/>
    <sheet name="Model inputs" sheetId="7" r:id="rId7"/>
  </sheets>
  <calcPr calcMode="auto" fullCalcOnLoad="1" forceFullCalc="1"/>
</workbook>
</file>

<file path=xl/styles.xml><?xml version="1.0" encoding="utf-8"?>
<styleSheet xmlns="http://schemas.openxmlformats.org/spreadsheetml/2006/main">
  <numFmts count="6">
    <numFmt numFmtId="164" formatCode="&quot;$&quot;#,##0.00;(&quot;$&quot;#,##0.00)"/>
    <numFmt numFmtId="165" formatCode="#,##0.###;(#,##0.###)"/>
    <numFmt numFmtId="166" formatCode="&quot;$&quot;#,##0;(&quot;$&quot;#,##0)"/>
    <numFmt numFmtId="167" formatCode="yyyy-mm-dd"/>
    <numFmt numFmtId="168" formatCode="0.0%"/>
    <numFmt numFmtId="169" formatCode="#,##0;(#,##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4">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6" fontId="0" fillId="0" borderId="0" xfId="0" applyNumberFormat="1" applyAlignment="1">
      <alignment vertical="center" horizontal="right"/>
    </xf>
    <xf numFmtId="167" fontId="0" fillId="0" borderId="0" xfId="0" applyNumberFormat="1" applyAlignment="1">
      <alignment vertical="center" horizontal="right"/>
    </xf>
    <xf numFmtId="165" fontId="3" fillId="4" borderId="1" xfId="0" applyNumberFormat="1" applyFill="1" applyFont="1" applyBorder="1" applyAlignment="1">
      <alignment vertical="center" horizontal="right"/>
    </xf>
    <xf numFmtId="166" fontId="3" fillId="4" borderId="1" xfId="0" applyNumberFormat="1" applyFill="1" applyFont="1" applyBorder="1" applyAlignment="1">
      <alignment vertical="center" horizontal="right"/>
    </xf>
    <xf numFmtId="168" fontId="3" fillId="4" borderId="1" xfId="0" applyNumberFormat="1" applyFill="1" applyFont="1" applyBorder="1" applyAlignment="1">
      <alignment vertical="center" horizontal="right"/>
    </xf>
    <xf numFmtId="0" fontId="3" fillId="5" borderId="1" xfId="0" applyFill="1" applyFont="1" applyBorder="1" applyAlignment="1">
      <alignment vertical="center" horizontal="right"/>
    </xf>
    <xf numFmtId="169" fontId="0" fillId="0" borderId="0" xfId="0" applyNumberFormat="1" applyAlignment="1">
      <alignment vertical="center" horizontal="right"/>
    </xf>
    <xf numFmtId="0" fontId="0" fillId="0" borderId="0" xfId="0" applyAlignment="1">
      <alignment vertical="center" horizontal="left" indent="1"/>
    </xf>
    <xf numFmtId="168" fontId="0" fillId="0" borderId="0" xfId="0" applyNumberFormat="1" applyAlignment="1">
      <alignment vertical="center" horizontal="right"/>
    </xf>
    <xf numFmtId="169" fontId="3" fillId="4" borderId="1" xfId="0" applyNumberFormat="1" applyFill="1" applyFont="1" applyBorder="1" applyAlignment="1">
      <alignment vertical="center" horizontal="right"/>
    </xf>
    <xf numFmtId="0" fontId="3" fillId="4" borderId="1" xfId="0" applyFill="1" applyFont="1" applyBorder="1"/>
    <xf numFmtId="0" fontId="3" fillId="6" borderId="0" xfId="0" applyFill="1" applyFont="1" applyAlignment="1">
      <alignment vertical="center" horizontal="left"/>
    </xf>
    <xf numFmtId="0" fontId="0" fillId="6" borderId="0" xfId="0" applyFill="1" applyAlignment="1">
      <alignment vertical="center" horizontal="left" indent="1"/>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worksheet" Target="worksheets/sheet6.xml"></Relationship><Relationship Id="rId7" Type="http://schemas.openxmlformats.org/officeDocument/2006/relationships/worksheet" Target="worksheets/sheet7.xml"></Relationship><Relationship Id="rId8" Type="http://schemas.openxmlformats.org/officeDocument/2006/relationships/styles" Target="styles.xml"></Relationship></Relationships>
</file>

<file path=xl/worksheets/sheet1.xml><?xml version="1.0" encoding="utf-8"?>
<worksheet xmlns="http://schemas.openxmlformats.org/spreadsheetml/2006/main">
  <dimension ref="A1:B1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Editable assumptions</t>
        </is>
      </c>
    </row>
    <row r="2" ht="20" customHeight="1">
      <c r="A2" t="inlineStr" s="2">
        <is>
          <t xml:space="preserve">AgentBisect — Financial Model · Main Scenario</t>
        </is>
      </c>
    </row>
    <row r="4" ht="22" customHeight="1">
      <c r="A4" t="inlineStr" s="3">
        <is>
          <t xml:space="preserve">Variable / dimension</t>
        </is>
      </c>
      <c r="B4" t="inlineStr" s="4">
        <is>
          <t xml:space="preserve">Value</t>
        </is>
      </c>
    </row>
    <row r="5">
      <c r="A5" t="inlineStr" s="5">
        <is>
          <t xml:space="preserve">Model cost per investigation</t>
        </is>
      </c>
      <c r="B5" s="6">
        <f>0.25</f>
        <v>0.25</v>
      </c>
    </row>
    <row r="6">
      <c r="A6" t="inlineStr" s="7">
        <is>
          <t xml:space="preserve">Compute cost per investigation</t>
        </is>
      </c>
      <c r="B6" s="8">
        <f>0.05</f>
        <v>0.05</v>
      </c>
    </row>
    <row r="7">
      <c r="A7" t="inlineStr" s="7">
        <is>
          <t xml:space="preserve">Compute minutes per investigation</t>
        </is>
      </c>
      <c r="B7" s="9">
        <f>10</f>
        <v>10</v>
      </c>
    </row>
    <row r="8">
      <c r="A8" t="inlineStr" s="7">
        <is>
          <t xml:space="preserve">Fixed hosting</t>
        </is>
      </c>
      <c r="B8" s="10">
        <f>300</f>
        <v>300</v>
      </c>
    </row>
    <row r="9">
      <c r="A9" t="inlineStr" s="7">
        <is>
          <t xml:space="preserve">Founder monthly salary</t>
        </is>
      </c>
      <c r="B9" s="10">
        <f>8000</f>
        <v>8000</v>
      </c>
    </row>
    <row r="10">
      <c r="A10" t="inlineStr" s="7">
        <is>
          <t xml:space="preserve">Unpaid founder months</t>
        </is>
      </c>
      <c r="B10" s="9">
        <f>6</f>
        <v>6</v>
      </c>
    </row>
    <row r="11">
      <c r="A11" t="inlineStr" s="7">
        <is>
          <t xml:space="preserve">Starting cash</t>
        </is>
      </c>
      <c r="B11" s="10">
        <f>25000</f>
        <v>25000</v>
      </c>
    </row>
    <row r="12">
      <c r="A12" t="inlineStr" s="7">
        <is>
          <t xml:space="preserve">Opening paying teams</t>
        </is>
      </c>
      <c r="B12" s="9">
        <f>0</f>
        <v>0</v>
      </c>
    </row>
    <row r="13">
      <c r="A13" t="inlineStr" s="7">
        <is>
          <t xml:space="preserve">Net new teams per month</t>
        </is>
      </c>
      <c r="B13" s="9">
        <f>5</f>
        <v>5</v>
      </c>
    </row>
    <row r="14">
      <c r="A14" t="inlineStr" s="7">
        <is>
          <t xml:space="preserve">Free repos</t>
        </is>
      </c>
      <c r="B14" s="9">
        <f>50</f>
        <v>50</v>
      </c>
    </row>
    <row r="15">
      <c r="A15" t="inlineStr" s="7">
        <is>
          <t xml:space="preserve">Forecast months</t>
        </is>
      </c>
      <c r="B15" s="9">
        <f>24</f>
        <v>24</v>
      </c>
    </row>
    <row r="16">
      <c r="A16" t="inlineStr" s="7">
        <is>
          <t xml:space="preserve">Forecast start</t>
        </is>
      </c>
      <c r="B16" s="11">
        <f>DATE(2026,10,1)</f>
        <v>46296</v>
      </c>
    </row>
    <row r="17">
      <c r="A17" t="inlineStr" s="5">
        <is>
          <t xml:space="preserve">Month 12 paying team target</t>
        </is>
      </c>
      <c r="B17" s="12">
        <f>'Editable assumptions'!B12+'Editable assumptions'!B13*12</f>
        <v>60</v>
      </c>
    </row>
  </sheetData>
  <mergeCells count="1">
    <mergeCell ref="A1:B1"/>
  </mergeCells>
</worksheet>
</file>

<file path=xl/worksheets/sheet2.xml><?xml version="1.0" encoding="utf-8"?>
<worksheet xmlns="http://schemas.openxmlformats.org/spreadsheetml/2006/main">
  <dimension ref="A1:K6"/>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32" customHeight="1">
      <c r="A1" t="inlineStr" s="1">
        <is>
          <t xml:space="preserve">Unit economics by plan</t>
        </is>
      </c>
    </row>
    <row r="2" ht="20" customHeight="1">
      <c r="A2" t="inlineStr" s="2">
        <is>
          <t xml:space="preserve">AgentBisect — Financial Model · Main Scenario</t>
        </is>
      </c>
    </row>
    <row r="4" ht="22" customHeight="1">
      <c r="A4" t="inlineStr" s="3">
        <is>
          <t xml:space="preserve">Variable / dimension</t>
        </is>
      </c>
      <c r="B4" t="inlineStr" s="4">
        <is>
          <t xml:space="preserve">Monthly price per repo</t>
        </is>
      </c>
      <c r="C4" t="inlineStr" s="4">
        <is>
          <t xml:space="preserve">Included investigations</t>
        </is>
      </c>
      <c r="D4" t="inlineStr" s="4">
        <is>
          <t xml:space="preserve">Average investigations</t>
        </is>
      </c>
      <c r="E4" t="inlineStr" s="4">
        <is>
          <t xml:space="preserve">Overage price</t>
        </is>
      </c>
      <c r="F4" t="inlineStr" s="4">
        <is>
          <t xml:space="preserve">Revenue per repo</t>
        </is>
      </c>
      <c r="G4" t="inlineStr" s="4">
        <is>
          <t xml:space="preserve">Investigation unit cost</t>
        </is>
      </c>
      <c r="H4" t="inlineStr" s="4">
        <is>
          <t xml:space="preserve">Variable cost per repo</t>
        </is>
      </c>
      <c r="I4" t="inlineStr" s="4">
        <is>
          <t xml:space="preserve">Contribution per repo</t>
        </is>
      </c>
      <c r="J4" t="inlineStr" s="4">
        <is>
          <t xml:space="preserve">Contribution margin</t>
        </is>
      </c>
      <c r="K4" t="inlineStr" s="4">
        <is>
          <t xml:space="preserve">Compute hours per repo</t>
        </is>
      </c>
    </row>
    <row r="5">
      <c r="A5" t="inlineStr" s="5">
        <is>
          <t xml:space="preserve">Free</t>
        </is>
      </c>
      <c r="B5" s="13">
        <f>0</f>
        <v>0</v>
      </c>
      <c r="C5" s="12">
        <f>10</f>
        <v>10</v>
      </c>
      <c r="D5" s="12">
        <f>10</f>
        <v>10</v>
      </c>
      <c r="E5" s="6">
        <f>0</f>
        <v>0</v>
      </c>
      <c r="F5" s="13">
        <f>'Unit economics by plan'!B5+MAX('Unit economics by plan'!D5-'Unit economics by plan'!C5,0)*'Unit economics by plan'!E5</f>
        <v>0</v>
      </c>
      <c r="G5" s="6">
        <f>'Editable assumptions'!B5+'Editable assumptions'!B6</f>
        <v>0.3</v>
      </c>
      <c r="H5" s="13">
        <f>'Unit economics by plan'!D5*'Unit economics by plan'!G5</f>
        <v>3</v>
      </c>
      <c r="I5" s="13">
        <f>'Unit economics by plan'!F5-'Unit economics by plan'!H5</f>
        <v>-3</v>
      </c>
      <c r="J5" t="str" s="14">
        <f>IFERROR('Unit economics by plan'!I5/'Unit economics by plan'!F5,"")</f>
        <v/>
      </c>
      <c r="K5" s="12">
        <f>'Unit economics by plan'!D5*'Editable assumptions'!B7/60</f>
        <v>1.6666666666666667</v>
      </c>
    </row>
    <row r="6">
      <c r="A6" t="inlineStr" s="5">
        <is>
          <t xml:space="preserve">Team</t>
        </is>
      </c>
      <c r="B6" s="13">
        <f>99</f>
        <v>99</v>
      </c>
      <c r="C6" s="12">
        <f>100</f>
        <v>100</v>
      </c>
      <c r="D6" s="12">
        <f>60</f>
        <v>60</v>
      </c>
      <c r="E6" s="6">
        <f>1</f>
        <v>1</v>
      </c>
      <c r="F6" s="13">
        <f>'Unit economics by plan'!B6+MAX('Unit economics by plan'!D6-'Unit economics by plan'!C6,0)*'Unit economics by plan'!E6</f>
        <v>99</v>
      </c>
      <c r="G6" s="6">
        <f>'Editable assumptions'!B5+'Editable assumptions'!B6</f>
        <v>0.3</v>
      </c>
      <c r="H6" s="13">
        <f>'Unit economics by plan'!D6*'Unit economics by plan'!G6</f>
        <v>18</v>
      </c>
      <c r="I6" s="13">
        <f>'Unit economics by plan'!F6-'Unit economics by plan'!H6</f>
        <v>81</v>
      </c>
      <c r="J6" s="14">
        <f>IFERROR('Unit economics by plan'!I6/'Unit economics by plan'!F6,"")</f>
        <v>0.8181818181818182</v>
      </c>
      <c r="K6" s="12">
        <f>'Unit economics by plan'!D6*'Editable assumptions'!B7/60</f>
        <v>10</v>
      </c>
    </row>
  </sheetData>
  <mergeCells count="1">
    <mergeCell ref="A1:K1"/>
  </mergeCells>
</worksheet>
</file>

<file path=xl/worksheets/sheet3.xml><?xml version="1.0" encoding="utf-8"?>
<worksheet xmlns="http://schemas.openxmlformats.org/spreadsheetml/2006/main">
  <dimension ref="A1:Z33"/>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32" customHeight="1">
      <c r="A1" t="inlineStr" s="1">
        <is>
          <t xml:space="preserve">Monthly forecast and cash</t>
        </is>
      </c>
    </row>
    <row r="2" ht="20" customHeight="1">
      <c r="A2" t="inlineStr" s="2">
        <is>
          <t xml:space="preserve">AgentBisect — Financial Model · Main Scenario</t>
        </is>
      </c>
    </row>
    <row r="4" ht="22" customHeight="1">
      <c r="A4" t="inlineStr" s="3">
        <is>
          <t xml:space="preserve">Variable / dimension</t>
        </is>
      </c>
      <c r="B4" t="inlineStr" s="4">
        <is>
          <t xml:space="preserve">2026-09</t>
        </is>
      </c>
      <c r="C4" t="inlineStr" s="15">
        <is>
          <t xml:space="preserve">2026-10</t>
        </is>
      </c>
      <c r="D4" t="inlineStr" s="4">
        <is>
          <t xml:space="preserve">2026-11</t>
        </is>
      </c>
      <c r="E4" t="inlineStr" s="4">
        <is>
          <t xml:space="preserve">2026-12</t>
        </is>
      </c>
      <c r="F4" t="inlineStr" s="15">
        <is>
          <t xml:space="preserve">2027-01</t>
        </is>
      </c>
      <c r="G4" t="inlineStr" s="4">
        <is>
          <t xml:space="preserve">2027-02</t>
        </is>
      </c>
      <c r="H4" t="inlineStr" s="4">
        <is>
          <t xml:space="preserve">2027-03</t>
        </is>
      </c>
      <c r="I4" t="inlineStr" s="15">
        <is>
          <t xml:space="preserve">2027-04</t>
        </is>
      </c>
      <c r="J4" t="inlineStr" s="4">
        <is>
          <t xml:space="preserve">2027-05</t>
        </is>
      </c>
      <c r="K4" t="inlineStr" s="4">
        <is>
          <t xml:space="preserve">2027-06</t>
        </is>
      </c>
      <c r="L4" t="inlineStr" s="15">
        <is>
          <t xml:space="preserve">2027-07</t>
        </is>
      </c>
      <c r="M4" t="inlineStr" s="4">
        <is>
          <t xml:space="preserve">2027-08</t>
        </is>
      </c>
      <c r="N4" t="inlineStr" s="4">
        <is>
          <t xml:space="preserve">2027-09</t>
        </is>
      </c>
      <c r="O4" t="inlineStr" s="15">
        <is>
          <t xml:space="preserve">2027-10</t>
        </is>
      </c>
      <c r="P4" t="inlineStr" s="4">
        <is>
          <t xml:space="preserve">2027-11</t>
        </is>
      </c>
      <c r="Q4" t="inlineStr" s="4">
        <is>
          <t xml:space="preserve">2027-12</t>
        </is>
      </c>
      <c r="R4" t="inlineStr" s="15">
        <is>
          <t xml:space="preserve">2028-01</t>
        </is>
      </c>
      <c r="S4" t="inlineStr" s="4">
        <is>
          <t xml:space="preserve">2028-02</t>
        </is>
      </c>
      <c r="T4" t="inlineStr" s="4">
        <is>
          <t xml:space="preserve">2028-03</t>
        </is>
      </c>
      <c r="U4" t="inlineStr" s="15">
        <is>
          <t xml:space="preserve">2028-04</t>
        </is>
      </c>
      <c r="V4" t="inlineStr" s="4">
        <is>
          <t xml:space="preserve">2028-05</t>
        </is>
      </c>
      <c r="W4" t="inlineStr" s="4">
        <is>
          <t xml:space="preserve">2028-06</t>
        </is>
      </c>
      <c r="X4" t="inlineStr" s="15">
        <is>
          <t xml:space="preserve">2028-07</t>
        </is>
      </c>
      <c r="Y4" t="inlineStr" s="4">
        <is>
          <t xml:space="preserve">2028-08</t>
        </is>
      </c>
      <c r="Z4" t="inlineStr" s="4">
        <is>
          <t xml:space="preserve">2028-09</t>
        </is>
      </c>
    </row>
    <row r="5">
      <c r="A5" t="inlineStr" s="5">
        <is>
          <t xml:space="preserve">Forecast month number</t>
        </is>
      </c>
      <c r="B5" s="12">
        <v>0</v>
      </c>
      <c r="C5" s="12">
        <f>DATEDIF('Editable assumptions'!B16,DATE(2026,10,1),"M")+1</f>
        <v>1</v>
      </c>
      <c r="D5" s="12">
        <f>DATEDIF('Editable assumptions'!B16,DATE(2026,11,1),"M")+1</f>
        <v>2</v>
      </c>
      <c r="E5" s="12">
        <f>DATEDIF('Editable assumptions'!B16,DATE(2026,12,1),"M")+1</f>
        <v>3</v>
      </c>
      <c r="F5" s="12">
        <f>DATEDIF('Editable assumptions'!B16,DATE(2027,1,1),"M")+1</f>
        <v>4</v>
      </c>
      <c r="G5" s="12">
        <f>DATEDIF('Editable assumptions'!B16,DATE(2027,2,1),"M")+1</f>
        <v>5</v>
      </c>
      <c r="H5" s="12">
        <f>DATEDIF('Editable assumptions'!B16,DATE(2027,3,1),"M")+1</f>
        <v>6</v>
      </c>
      <c r="I5" s="12">
        <f>DATEDIF('Editable assumptions'!B16,DATE(2027,4,1),"M")+1</f>
        <v>7</v>
      </c>
      <c r="J5" s="12">
        <f>DATEDIF('Editable assumptions'!B16,DATE(2027,5,1),"M")+1</f>
        <v>8</v>
      </c>
      <c r="K5" s="12">
        <f>DATEDIF('Editable assumptions'!B16,DATE(2027,6,1),"M")+1</f>
        <v>9</v>
      </c>
      <c r="L5" s="12">
        <f>DATEDIF('Editable assumptions'!B16,DATE(2027,7,1),"M")+1</f>
        <v>10</v>
      </c>
      <c r="M5" s="12">
        <f>DATEDIF('Editable assumptions'!B16,DATE(2027,8,1),"M")+1</f>
        <v>11</v>
      </c>
      <c r="N5" s="12">
        <f>DATEDIF('Editable assumptions'!B16,DATE(2027,9,1),"M")+1</f>
        <v>12</v>
      </c>
      <c r="O5" s="12">
        <f>DATEDIF('Editable assumptions'!B16,DATE(2027,10,1),"M")+1</f>
        <v>13</v>
      </c>
      <c r="P5" s="12">
        <f>DATEDIF('Editable assumptions'!B16,DATE(2027,11,1),"M")+1</f>
        <v>14</v>
      </c>
      <c r="Q5" s="12">
        <f>DATEDIF('Editable assumptions'!B16,DATE(2027,12,1),"M")+1</f>
        <v>15</v>
      </c>
      <c r="R5" s="12">
        <f>DATEDIF('Editable assumptions'!B16,DATE(2028,1,1),"M")+1</f>
        <v>16</v>
      </c>
      <c r="S5" s="12">
        <f>DATEDIF('Editable assumptions'!B16,DATE(2028,2,1),"M")+1</f>
        <v>17</v>
      </c>
      <c r="T5" s="12">
        <f>DATEDIF('Editable assumptions'!B16,DATE(2028,3,1),"M")+1</f>
        <v>18</v>
      </c>
      <c r="U5" s="12">
        <f>DATEDIF('Editable assumptions'!B16,DATE(2028,4,1),"M")+1</f>
        <v>19</v>
      </c>
      <c r="V5" s="12">
        <f>DATEDIF('Editable assumptions'!B16,DATE(2028,5,1),"M")+1</f>
        <v>20</v>
      </c>
      <c r="W5" s="12">
        <f>DATEDIF('Editable assumptions'!B16,DATE(2028,6,1),"M")+1</f>
        <v>21</v>
      </c>
      <c r="X5" s="12">
        <f>DATEDIF('Editable assumptions'!B16,DATE(2028,7,1),"M")+1</f>
        <v>22</v>
      </c>
      <c r="Y5" s="12">
        <f>DATEDIF('Editable assumptions'!B16,DATE(2028,8,1),"M")+1</f>
        <v>23</v>
      </c>
      <c r="Z5" s="12">
        <f>DATEDIF('Editable assumptions'!B16,DATE(2028,9,1),"M")+1</f>
        <v>24</v>
      </c>
    </row>
    <row r="6">
      <c r="A6" t="inlineStr" s="7">
        <is>
          <t xml:space="preserve">Monthly net new teams</t>
        </is>
      </c>
      <c r="B6" s="9">
        <v>0</v>
      </c>
      <c r="C6" s="9">
        <f>IF('Editable assumptions'!B13="","",'Editable assumptions'!B13)</f>
        <v>5</v>
      </c>
      <c r="D6" s="9">
        <f>IF('Monthly forecast and cash'!C6="","",'Monthly forecast and cash'!C6)</f>
        <v>5</v>
      </c>
      <c r="E6" s="9">
        <f>IF('Monthly forecast and cash'!D6="","",'Monthly forecast and cash'!D6)</f>
        <v>5</v>
      </c>
      <c r="F6" s="9">
        <f>IF('Monthly forecast and cash'!E6="","",'Monthly forecast and cash'!E6)</f>
        <v>5</v>
      </c>
      <c r="G6" s="9">
        <f>IF('Monthly forecast and cash'!F6="","",'Monthly forecast and cash'!F6)</f>
        <v>5</v>
      </c>
      <c r="H6" s="9">
        <f>IF('Monthly forecast and cash'!G6="","",'Monthly forecast and cash'!G6)</f>
        <v>5</v>
      </c>
      <c r="I6" s="9">
        <f>IF('Monthly forecast and cash'!H6="","",'Monthly forecast and cash'!H6)</f>
        <v>5</v>
      </c>
      <c r="J6" s="9">
        <f>IF('Monthly forecast and cash'!I6="","",'Monthly forecast and cash'!I6)</f>
        <v>5</v>
      </c>
      <c r="K6" s="9">
        <f>IF('Monthly forecast and cash'!J6="","",'Monthly forecast and cash'!J6)</f>
        <v>5</v>
      </c>
      <c r="L6" s="9">
        <f>IF('Monthly forecast and cash'!K6="","",'Monthly forecast and cash'!K6)</f>
        <v>5</v>
      </c>
      <c r="M6" s="9">
        <f>IF('Monthly forecast and cash'!L6="","",'Monthly forecast and cash'!L6)</f>
        <v>5</v>
      </c>
      <c r="N6" s="9">
        <f>IF('Monthly forecast and cash'!M6="","",'Monthly forecast and cash'!M6)</f>
        <v>5</v>
      </c>
      <c r="O6" s="9">
        <f>IF('Monthly forecast and cash'!N6="","",'Monthly forecast and cash'!N6)</f>
        <v>5</v>
      </c>
      <c r="P6" s="9">
        <f>IF('Monthly forecast and cash'!O6="","",'Monthly forecast and cash'!O6)</f>
        <v>5</v>
      </c>
      <c r="Q6" s="9">
        <f>IF('Monthly forecast and cash'!P6="","",'Monthly forecast and cash'!P6)</f>
        <v>5</v>
      </c>
      <c r="R6" s="9">
        <f>IF('Monthly forecast and cash'!Q6="","",'Monthly forecast and cash'!Q6)</f>
        <v>5</v>
      </c>
      <c r="S6" s="9">
        <f>IF('Monthly forecast and cash'!R6="","",'Monthly forecast and cash'!R6)</f>
        <v>5</v>
      </c>
      <c r="T6" s="9">
        <f>IF('Monthly forecast and cash'!S6="","",'Monthly forecast and cash'!S6)</f>
        <v>5</v>
      </c>
      <c r="U6" s="9">
        <f>IF('Monthly forecast and cash'!T6="","",'Monthly forecast and cash'!T6)</f>
        <v>5</v>
      </c>
      <c r="V6" s="9">
        <f>IF('Monthly forecast and cash'!U6="","",'Monthly forecast and cash'!U6)</f>
        <v>5</v>
      </c>
      <c r="W6" s="9">
        <f>IF('Monthly forecast and cash'!V6="","",'Monthly forecast and cash'!V6)</f>
        <v>5</v>
      </c>
      <c r="X6" s="9">
        <f>IF('Monthly forecast and cash'!W6="","",'Monthly forecast and cash'!W6)</f>
        <v>5</v>
      </c>
      <c r="Y6" s="9">
        <f>IF('Monthly forecast and cash'!X6="","",'Monthly forecast and cash'!X6)</f>
        <v>5</v>
      </c>
      <c r="Z6" s="9">
        <f>IF('Monthly forecast and cash'!Y6="","",'Monthly forecast and cash'!Y6)</f>
        <v>5</v>
      </c>
    </row>
    <row r="7">
      <c r="A7" t="inlineStr" s="7">
        <is>
          <t xml:space="preserve">Paying teams</t>
        </is>
      </c>
      <c r="B7" s="16">
        <v>0</v>
      </c>
      <c r="C7" s="16">
        <f>IF(IF(IF(IF(ISERROR('Monthly forecast and cash'!C5=1),'Monthly forecast and cash'!C5=1,IF('Monthly forecast and cash'!C5="","",'Monthly forecast and cash'!C5=1))="",FALSE,IF(ISERROR('Monthly forecast and cash'!C5=1),'Monthly forecast and cash'!C5=1,IF('Monthly forecast and cash'!C5="","",'Monthly forecast and cash'!C5=1))),IF('Editable assumptions'!B12="","",'Editable assumptions'!B12),IF('Monthly forecast and cash'!B7="","",'Monthly forecast and cash'!B7))="",0,IF(IF(IF(ISERROR('Monthly forecast and cash'!C5=1),'Monthly forecast and cash'!C5=1,IF('Monthly forecast and cash'!C5="","",'Monthly forecast and cash'!C5=1))="",FALSE,IF(ISERROR('Monthly forecast and cash'!C5=1),'Monthly forecast and cash'!C5=1,IF('Monthly forecast and cash'!C5="","",'Monthly forecast and cash'!C5=1))),IF('Editable assumptions'!B12="","",'Editable assumptions'!B12),IF('Monthly forecast and cash'!B7="","",'Monthly forecast and cash'!B7)))+'Monthly forecast and cash'!C6</f>
        <v>5</v>
      </c>
      <c r="D7" s="16">
        <f>IF(IF(IF(IF(ISERROR('Monthly forecast and cash'!D5=1),'Monthly forecast and cash'!D5=1,IF('Monthly forecast and cash'!D5="","",'Monthly forecast and cash'!D5=1))="",FALSE,IF(ISERROR('Monthly forecast and cash'!D5=1),'Monthly forecast and cash'!D5=1,IF('Monthly forecast and cash'!D5="","",'Monthly forecast and cash'!D5=1))),IF('Editable assumptions'!B12="","",'Editable assumptions'!B12),IF('Monthly forecast and cash'!C7="","",'Monthly forecast and cash'!C7))="",0,IF(IF(IF(ISERROR('Monthly forecast and cash'!D5=1),'Monthly forecast and cash'!D5=1,IF('Monthly forecast and cash'!D5="","",'Monthly forecast and cash'!D5=1))="",FALSE,IF(ISERROR('Monthly forecast and cash'!D5=1),'Monthly forecast and cash'!D5=1,IF('Monthly forecast and cash'!D5="","",'Monthly forecast and cash'!D5=1))),IF('Editable assumptions'!B12="","",'Editable assumptions'!B12),IF('Monthly forecast and cash'!C7="","",'Monthly forecast and cash'!C7)))+'Monthly forecast and cash'!D6</f>
        <v>10</v>
      </c>
      <c r="E7" s="16">
        <f>IF(IF(IF(IF(ISERROR('Monthly forecast and cash'!E5=1),'Monthly forecast and cash'!E5=1,IF('Monthly forecast and cash'!E5="","",'Monthly forecast and cash'!E5=1))="",FALSE,IF(ISERROR('Monthly forecast and cash'!E5=1),'Monthly forecast and cash'!E5=1,IF('Monthly forecast and cash'!E5="","",'Monthly forecast and cash'!E5=1))),IF('Editable assumptions'!B12="","",'Editable assumptions'!B12),IF('Monthly forecast and cash'!D7="","",'Monthly forecast and cash'!D7))="",0,IF(IF(IF(ISERROR('Monthly forecast and cash'!E5=1),'Monthly forecast and cash'!E5=1,IF('Monthly forecast and cash'!E5="","",'Monthly forecast and cash'!E5=1))="",FALSE,IF(ISERROR('Monthly forecast and cash'!E5=1),'Monthly forecast and cash'!E5=1,IF('Monthly forecast and cash'!E5="","",'Monthly forecast and cash'!E5=1))),IF('Editable assumptions'!B12="","",'Editable assumptions'!B12),IF('Monthly forecast and cash'!D7="","",'Monthly forecast and cash'!D7)))+'Monthly forecast and cash'!E6</f>
        <v>15</v>
      </c>
      <c r="F7" s="16">
        <f>IF(IF(IF(IF(ISERROR('Monthly forecast and cash'!F5=1),'Monthly forecast and cash'!F5=1,IF('Monthly forecast and cash'!F5="","",'Monthly forecast and cash'!F5=1))="",FALSE,IF(ISERROR('Monthly forecast and cash'!F5=1),'Monthly forecast and cash'!F5=1,IF('Monthly forecast and cash'!F5="","",'Monthly forecast and cash'!F5=1))),IF('Editable assumptions'!B12="","",'Editable assumptions'!B12),IF('Monthly forecast and cash'!E7="","",'Monthly forecast and cash'!E7))="",0,IF(IF(IF(ISERROR('Monthly forecast and cash'!F5=1),'Monthly forecast and cash'!F5=1,IF('Monthly forecast and cash'!F5="","",'Monthly forecast and cash'!F5=1))="",FALSE,IF(ISERROR('Monthly forecast and cash'!F5=1),'Monthly forecast and cash'!F5=1,IF('Monthly forecast and cash'!F5="","",'Monthly forecast and cash'!F5=1))),IF('Editable assumptions'!B12="","",'Editable assumptions'!B12),IF('Monthly forecast and cash'!E7="","",'Monthly forecast and cash'!E7)))+'Monthly forecast and cash'!F6</f>
        <v>20</v>
      </c>
      <c r="G7" s="16">
        <f>IF(IF(IF(IF(ISERROR('Monthly forecast and cash'!G5=1),'Monthly forecast and cash'!G5=1,IF('Monthly forecast and cash'!G5="","",'Monthly forecast and cash'!G5=1))="",FALSE,IF(ISERROR('Monthly forecast and cash'!G5=1),'Monthly forecast and cash'!G5=1,IF('Monthly forecast and cash'!G5="","",'Monthly forecast and cash'!G5=1))),IF('Editable assumptions'!B12="","",'Editable assumptions'!B12),IF('Monthly forecast and cash'!F7="","",'Monthly forecast and cash'!F7))="",0,IF(IF(IF(ISERROR('Monthly forecast and cash'!G5=1),'Monthly forecast and cash'!G5=1,IF('Monthly forecast and cash'!G5="","",'Monthly forecast and cash'!G5=1))="",FALSE,IF(ISERROR('Monthly forecast and cash'!G5=1),'Monthly forecast and cash'!G5=1,IF('Monthly forecast and cash'!G5="","",'Monthly forecast and cash'!G5=1))),IF('Editable assumptions'!B12="","",'Editable assumptions'!B12),IF('Monthly forecast and cash'!F7="","",'Monthly forecast and cash'!F7)))+'Monthly forecast and cash'!G6</f>
        <v>25</v>
      </c>
      <c r="H7" s="16">
        <f>IF(IF(IF(IF(ISERROR('Monthly forecast and cash'!H5=1),'Monthly forecast and cash'!H5=1,IF('Monthly forecast and cash'!H5="","",'Monthly forecast and cash'!H5=1))="",FALSE,IF(ISERROR('Monthly forecast and cash'!H5=1),'Monthly forecast and cash'!H5=1,IF('Monthly forecast and cash'!H5="","",'Monthly forecast and cash'!H5=1))),IF('Editable assumptions'!B12="","",'Editable assumptions'!B12),IF('Monthly forecast and cash'!G7="","",'Monthly forecast and cash'!G7))="",0,IF(IF(IF(ISERROR('Monthly forecast and cash'!H5=1),'Monthly forecast and cash'!H5=1,IF('Monthly forecast and cash'!H5="","",'Monthly forecast and cash'!H5=1))="",FALSE,IF(ISERROR('Monthly forecast and cash'!H5=1),'Monthly forecast and cash'!H5=1,IF('Monthly forecast and cash'!H5="","",'Monthly forecast and cash'!H5=1))),IF('Editable assumptions'!B12="","",'Editable assumptions'!B12),IF('Monthly forecast and cash'!G7="","",'Monthly forecast and cash'!G7)))+'Monthly forecast and cash'!H6</f>
        <v>30</v>
      </c>
      <c r="I7" s="16">
        <f>IF(IF(IF(IF(ISERROR('Monthly forecast and cash'!I5=1),'Monthly forecast and cash'!I5=1,IF('Monthly forecast and cash'!I5="","",'Monthly forecast and cash'!I5=1))="",FALSE,IF(ISERROR('Monthly forecast and cash'!I5=1),'Monthly forecast and cash'!I5=1,IF('Monthly forecast and cash'!I5="","",'Monthly forecast and cash'!I5=1))),IF('Editable assumptions'!B12="","",'Editable assumptions'!B12),IF('Monthly forecast and cash'!H7="","",'Monthly forecast and cash'!H7))="",0,IF(IF(IF(ISERROR('Monthly forecast and cash'!I5=1),'Monthly forecast and cash'!I5=1,IF('Monthly forecast and cash'!I5="","",'Monthly forecast and cash'!I5=1))="",FALSE,IF(ISERROR('Monthly forecast and cash'!I5=1),'Monthly forecast and cash'!I5=1,IF('Monthly forecast and cash'!I5="","",'Monthly forecast and cash'!I5=1))),IF('Editable assumptions'!B12="","",'Editable assumptions'!B12),IF('Monthly forecast and cash'!H7="","",'Monthly forecast and cash'!H7)))+'Monthly forecast and cash'!I6</f>
        <v>35</v>
      </c>
      <c r="J7" s="16">
        <f>IF(IF(IF(IF(ISERROR('Monthly forecast and cash'!J5=1),'Monthly forecast and cash'!J5=1,IF('Monthly forecast and cash'!J5="","",'Monthly forecast and cash'!J5=1))="",FALSE,IF(ISERROR('Monthly forecast and cash'!J5=1),'Monthly forecast and cash'!J5=1,IF('Monthly forecast and cash'!J5="","",'Monthly forecast and cash'!J5=1))),IF('Editable assumptions'!B12="","",'Editable assumptions'!B12),IF('Monthly forecast and cash'!I7="","",'Monthly forecast and cash'!I7))="",0,IF(IF(IF(ISERROR('Monthly forecast and cash'!J5=1),'Monthly forecast and cash'!J5=1,IF('Monthly forecast and cash'!J5="","",'Monthly forecast and cash'!J5=1))="",FALSE,IF(ISERROR('Monthly forecast and cash'!J5=1),'Monthly forecast and cash'!J5=1,IF('Monthly forecast and cash'!J5="","",'Monthly forecast and cash'!J5=1))),IF('Editable assumptions'!B12="","",'Editable assumptions'!B12),IF('Monthly forecast and cash'!I7="","",'Monthly forecast and cash'!I7)))+'Monthly forecast and cash'!J6</f>
        <v>40</v>
      </c>
      <c r="K7" s="16">
        <f>IF(IF(IF(IF(ISERROR('Monthly forecast and cash'!K5=1),'Monthly forecast and cash'!K5=1,IF('Monthly forecast and cash'!K5="","",'Monthly forecast and cash'!K5=1))="",FALSE,IF(ISERROR('Monthly forecast and cash'!K5=1),'Monthly forecast and cash'!K5=1,IF('Monthly forecast and cash'!K5="","",'Monthly forecast and cash'!K5=1))),IF('Editable assumptions'!B12="","",'Editable assumptions'!B12),IF('Monthly forecast and cash'!J7="","",'Monthly forecast and cash'!J7))="",0,IF(IF(IF(ISERROR('Monthly forecast and cash'!K5=1),'Monthly forecast and cash'!K5=1,IF('Monthly forecast and cash'!K5="","",'Monthly forecast and cash'!K5=1))="",FALSE,IF(ISERROR('Monthly forecast and cash'!K5=1),'Monthly forecast and cash'!K5=1,IF('Monthly forecast and cash'!K5="","",'Monthly forecast and cash'!K5=1))),IF('Editable assumptions'!B12="","",'Editable assumptions'!B12),IF('Monthly forecast and cash'!J7="","",'Monthly forecast and cash'!J7)))+'Monthly forecast and cash'!K6</f>
        <v>45</v>
      </c>
      <c r="L7" s="16">
        <f>IF(IF(IF(IF(ISERROR('Monthly forecast and cash'!L5=1),'Monthly forecast and cash'!L5=1,IF('Monthly forecast and cash'!L5="","",'Monthly forecast and cash'!L5=1))="",FALSE,IF(ISERROR('Monthly forecast and cash'!L5=1),'Monthly forecast and cash'!L5=1,IF('Monthly forecast and cash'!L5="","",'Monthly forecast and cash'!L5=1))),IF('Editable assumptions'!B12="","",'Editable assumptions'!B12),IF('Monthly forecast and cash'!K7="","",'Monthly forecast and cash'!K7))="",0,IF(IF(IF(ISERROR('Monthly forecast and cash'!L5=1),'Monthly forecast and cash'!L5=1,IF('Monthly forecast and cash'!L5="","",'Monthly forecast and cash'!L5=1))="",FALSE,IF(ISERROR('Monthly forecast and cash'!L5=1),'Monthly forecast and cash'!L5=1,IF('Monthly forecast and cash'!L5="","",'Monthly forecast and cash'!L5=1))),IF('Editable assumptions'!B12="","",'Editable assumptions'!B12),IF('Monthly forecast and cash'!K7="","",'Monthly forecast and cash'!K7)))+'Monthly forecast and cash'!L6</f>
        <v>50</v>
      </c>
      <c r="M7" s="16">
        <f>IF(IF(IF(IF(ISERROR('Monthly forecast and cash'!M5=1),'Monthly forecast and cash'!M5=1,IF('Monthly forecast and cash'!M5="","",'Monthly forecast and cash'!M5=1))="",FALSE,IF(ISERROR('Monthly forecast and cash'!M5=1),'Monthly forecast and cash'!M5=1,IF('Monthly forecast and cash'!M5="","",'Monthly forecast and cash'!M5=1))),IF('Editable assumptions'!B12="","",'Editable assumptions'!B12),IF('Monthly forecast and cash'!L7="","",'Monthly forecast and cash'!L7))="",0,IF(IF(IF(ISERROR('Monthly forecast and cash'!M5=1),'Monthly forecast and cash'!M5=1,IF('Monthly forecast and cash'!M5="","",'Monthly forecast and cash'!M5=1))="",FALSE,IF(ISERROR('Monthly forecast and cash'!M5=1),'Monthly forecast and cash'!M5=1,IF('Monthly forecast and cash'!M5="","",'Monthly forecast and cash'!M5=1))),IF('Editable assumptions'!B12="","",'Editable assumptions'!B12),IF('Monthly forecast and cash'!L7="","",'Monthly forecast and cash'!L7)))+'Monthly forecast and cash'!M6</f>
        <v>55</v>
      </c>
      <c r="N7" s="16">
        <f>IF(IF(IF(IF(ISERROR('Monthly forecast and cash'!N5=1),'Monthly forecast and cash'!N5=1,IF('Monthly forecast and cash'!N5="","",'Monthly forecast and cash'!N5=1))="",FALSE,IF(ISERROR('Monthly forecast and cash'!N5=1),'Monthly forecast and cash'!N5=1,IF('Monthly forecast and cash'!N5="","",'Monthly forecast and cash'!N5=1))),IF('Editable assumptions'!B12="","",'Editable assumptions'!B12),IF('Monthly forecast and cash'!M7="","",'Monthly forecast and cash'!M7))="",0,IF(IF(IF(ISERROR('Monthly forecast and cash'!N5=1),'Monthly forecast and cash'!N5=1,IF('Monthly forecast and cash'!N5="","",'Monthly forecast and cash'!N5=1))="",FALSE,IF(ISERROR('Monthly forecast and cash'!N5=1),'Monthly forecast and cash'!N5=1,IF('Monthly forecast and cash'!N5="","",'Monthly forecast and cash'!N5=1))),IF('Editable assumptions'!B12="","",'Editable assumptions'!B12),IF('Monthly forecast and cash'!M7="","",'Monthly forecast and cash'!M7)))+'Monthly forecast and cash'!N6</f>
        <v>60</v>
      </c>
      <c r="O7" s="16">
        <f>IF(IF(IF(IF(ISERROR('Monthly forecast and cash'!O5=1),'Monthly forecast and cash'!O5=1,IF('Monthly forecast and cash'!O5="","",'Monthly forecast and cash'!O5=1))="",FALSE,IF(ISERROR('Monthly forecast and cash'!O5=1),'Monthly forecast and cash'!O5=1,IF('Monthly forecast and cash'!O5="","",'Monthly forecast and cash'!O5=1))),IF('Editable assumptions'!B12="","",'Editable assumptions'!B12),IF('Monthly forecast and cash'!N7="","",'Monthly forecast and cash'!N7))="",0,IF(IF(IF(ISERROR('Monthly forecast and cash'!O5=1),'Monthly forecast and cash'!O5=1,IF('Monthly forecast and cash'!O5="","",'Monthly forecast and cash'!O5=1))="",FALSE,IF(ISERROR('Monthly forecast and cash'!O5=1),'Monthly forecast and cash'!O5=1,IF('Monthly forecast and cash'!O5="","",'Monthly forecast and cash'!O5=1))),IF('Editable assumptions'!B12="","",'Editable assumptions'!B12),IF('Monthly forecast and cash'!N7="","",'Monthly forecast and cash'!N7)))+'Monthly forecast and cash'!O6</f>
        <v>65</v>
      </c>
      <c r="P7" s="16">
        <f>IF(IF(IF(IF(ISERROR('Monthly forecast and cash'!P5=1),'Monthly forecast and cash'!P5=1,IF('Monthly forecast and cash'!P5="","",'Monthly forecast and cash'!P5=1))="",FALSE,IF(ISERROR('Monthly forecast and cash'!P5=1),'Monthly forecast and cash'!P5=1,IF('Monthly forecast and cash'!P5="","",'Monthly forecast and cash'!P5=1))),IF('Editable assumptions'!B12="","",'Editable assumptions'!B12),IF('Monthly forecast and cash'!O7="","",'Monthly forecast and cash'!O7))="",0,IF(IF(IF(ISERROR('Monthly forecast and cash'!P5=1),'Monthly forecast and cash'!P5=1,IF('Monthly forecast and cash'!P5="","",'Monthly forecast and cash'!P5=1))="",FALSE,IF(ISERROR('Monthly forecast and cash'!P5=1),'Monthly forecast and cash'!P5=1,IF('Monthly forecast and cash'!P5="","",'Monthly forecast and cash'!P5=1))),IF('Editable assumptions'!B12="","",'Editable assumptions'!B12),IF('Monthly forecast and cash'!O7="","",'Monthly forecast and cash'!O7)))+'Monthly forecast and cash'!P6</f>
        <v>70</v>
      </c>
      <c r="Q7" s="16">
        <f>IF(IF(IF(IF(ISERROR('Monthly forecast and cash'!Q5=1),'Monthly forecast and cash'!Q5=1,IF('Monthly forecast and cash'!Q5="","",'Monthly forecast and cash'!Q5=1))="",FALSE,IF(ISERROR('Monthly forecast and cash'!Q5=1),'Monthly forecast and cash'!Q5=1,IF('Monthly forecast and cash'!Q5="","",'Monthly forecast and cash'!Q5=1))),IF('Editable assumptions'!B12="","",'Editable assumptions'!B12),IF('Monthly forecast and cash'!P7="","",'Monthly forecast and cash'!P7))="",0,IF(IF(IF(ISERROR('Monthly forecast and cash'!Q5=1),'Monthly forecast and cash'!Q5=1,IF('Monthly forecast and cash'!Q5="","",'Monthly forecast and cash'!Q5=1))="",FALSE,IF(ISERROR('Monthly forecast and cash'!Q5=1),'Monthly forecast and cash'!Q5=1,IF('Monthly forecast and cash'!Q5="","",'Monthly forecast and cash'!Q5=1))),IF('Editable assumptions'!B12="","",'Editable assumptions'!B12),IF('Monthly forecast and cash'!P7="","",'Monthly forecast and cash'!P7)))+'Monthly forecast and cash'!Q6</f>
        <v>75</v>
      </c>
      <c r="R7" s="16">
        <f>IF(IF(IF(IF(ISERROR('Monthly forecast and cash'!R5=1),'Monthly forecast and cash'!R5=1,IF('Monthly forecast and cash'!R5="","",'Monthly forecast and cash'!R5=1))="",FALSE,IF(ISERROR('Monthly forecast and cash'!R5=1),'Monthly forecast and cash'!R5=1,IF('Monthly forecast and cash'!R5="","",'Monthly forecast and cash'!R5=1))),IF('Editable assumptions'!B12="","",'Editable assumptions'!B12),IF('Monthly forecast and cash'!Q7="","",'Monthly forecast and cash'!Q7))="",0,IF(IF(IF(ISERROR('Monthly forecast and cash'!R5=1),'Monthly forecast and cash'!R5=1,IF('Monthly forecast and cash'!R5="","",'Monthly forecast and cash'!R5=1))="",FALSE,IF(ISERROR('Monthly forecast and cash'!R5=1),'Monthly forecast and cash'!R5=1,IF('Monthly forecast and cash'!R5="","",'Monthly forecast and cash'!R5=1))),IF('Editable assumptions'!B12="","",'Editable assumptions'!B12),IF('Monthly forecast and cash'!Q7="","",'Monthly forecast and cash'!Q7)))+'Monthly forecast and cash'!R6</f>
        <v>80</v>
      </c>
      <c r="S7" s="16">
        <f>IF(IF(IF(IF(ISERROR('Monthly forecast and cash'!S5=1),'Monthly forecast and cash'!S5=1,IF('Monthly forecast and cash'!S5="","",'Monthly forecast and cash'!S5=1))="",FALSE,IF(ISERROR('Monthly forecast and cash'!S5=1),'Monthly forecast and cash'!S5=1,IF('Monthly forecast and cash'!S5="","",'Monthly forecast and cash'!S5=1))),IF('Editable assumptions'!B12="","",'Editable assumptions'!B12),IF('Monthly forecast and cash'!R7="","",'Monthly forecast and cash'!R7))="",0,IF(IF(IF(ISERROR('Monthly forecast and cash'!S5=1),'Monthly forecast and cash'!S5=1,IF('Monthly forecast and cash'!S5="","",'Monthly forecast and cash'!S5=1))="",FALSE,IF(ISERROR('Monthly forecast and cash'!S5=1),'Monthly forecast and cash'!S5=1,IF('Monthly forecast and cash'!S5="","",'Monthly forecast and cash'!S5=1))),IF('Editable assumptions'!B12="","",'Editable assumptions'!B12),IF('Monthly forecast and cash'!R7="","",'Monthly forecast and cash'!R7)))+'Monthly forecast and cash'!S6</f>
        <v>85</v>
      </c>
      <c r="T7" s="16">
        <f>IF(IF(IF(IF(ISERROR('Monthly forecast and cash'!T5=1),'Monthly forecast and cash'!T5=1,IF('Monthly forecast and cash'!T5="","",'Monthly forecast and cash'!T5=1))="",FALSE,IF(ISERROR('Monthly forecast and cash'!T5=1),'Monthly forecast and cash'!T5=1,IF('Monthly forecast and cash'!T5="","",'Monthly forecast and cash'!T5=1))),IF('Editable assumptions'!B12="","",'Editable assumptions'!B12),IF('Monthly forecast and cash'!S7="","",'Monthly forecast and cash'!S7))="",0,IF(IF(IF(ISERROR('Monthly forecast and cash'!T5=1),'Monthly forecast and cash'!T5=1,IF('Monthly forecast and cash'!T5="","",'Monthly forecast and cash'!T5=1))="",FALSE,IF(ISERROR('Monthly forecast and cash'!T5=1),'Monthly forecast and cash'!T5=1,IF('Monthly forecast and cash'!T5="","",'Monthly forecast and cash'!T5=1))),IF('Editable assumptions'!B12="","",'Editable assumptions'!B12),IF('Monthly forecast and cash'!S7="","",'Monthly forecast and cash'!S7)))+'Monthly forecast and cash'!T6</f>
        <v>90</v>
      </c>
      <c r="U7" s="16">
        <f>IF(IF(IF(IF(ISERROR('Monthly forecast and cash'!U5=1),'Monthly forecast and cash'!U5=1,IF('Monthly forecast and cash'!U5="","",'Monthly forecast and cash'!U5=1))="",FALSE,IF(ISERROR('Monthly forecast and cash'!U5=1),'Monthly forecast and cash'!U5=1,IF('Monthly forecast and cash'!U5="","",'Monthly forecast and cash'!U5=1))),IF('Editable assumptions'!B12="","",'Editable assumptions'!B12),IF('Monthly forecast and cash'!T7="","",'Monthly forecast and cash'!T7))="",0,IF(IF(IF(ISERROR('Monthly forecast and cash'!U5=1),'Monthly forecast and cash'!U5=1,IF('Monthly forecast and cash'!U5="","",'Monthly forecast and cash'!U5=1))="",FALSE,IF(ISERROR('Monthly forecast and cash'!U5=1),'Monthly forecast and cash'!U5=1,IF('Monthly forecast and cash'!U5="","",'Monthly forecast and cash'!U5=1))),IF('Editable assumptions'!B12="","",'Editable assumptions'!B12),IF('Monthly forecast and cash'!T7="","",'Monthly forecast and cash'!T7)))+'Monthly forecast and cash'!U6</f>
        <v>95</v>
      </c>
      <c r="V7" s="16">
        <f>IF(IF(IF(IF(ISERROR('Monthly forecast and cash'!V5=1),'Monthly forecast and cash'!V5=1,IF('Monthly forecast and cash'!V5="","",'Monthly forecast and cash'!V5=1))="",FALSE,IF(ISERROR('Monthly forecast and cash'!V5=1),'Monthly forecast and cash'!V5=1,IF('Monthly forecast and cash'!V5="","",'Monthly forecast and cash'!V5=1))),IF('Editable assumptions'!B12="","",'Editable assumptions'!B12),IF('Monthly forecast and cash'!U7="","",'Monthly forecast and cash'!U7))="",0,IF(IF(IF(ISERROR('Monthly forecast and cash'!V5=1),'Monthly forecast and cash'!V5=1,IF('Monthly forecast and cash'!V5="","",'Monthly forecast and cash'!V5=1))="",FALSE,IF(ISERROR('Monthly forecast and cash'!V5=1),'Monthly forecast and cash'!V5=1,IF('Monthly forecast and cash'!V5="","",'Monthly forecast and cash'!V5=1))),IF('Editable assumptions'!B12="","",'Editable assumptions'!B12),IF('Monthly forecast and cash'!U7="","",'Monthly forecast and cash'!U7)))+'Monthly forecast and cash'!V6</f>
        <v>100</v>
      </c>
      <c r="W7" s="16">
        <f>IF(IF(IF(IF(ISERROR('Monthly forecast and cash'!W5=1),'Monthly forecast and cash'!W5=1,IF('Monthly forecast and cash'!W5="","",'Monthly forecast and cash'!W5=1))="",FALSE,IF(ISERROR('Monthly forecast and cash'!W5=1),'Monthly forecast and cash'!W5=1,IF('Monthly forecast and cash'!W5="","",'Monthly forecast and cash'!W5=1))),IF('Editable assumptions'!B12="","",'Editable assumptions'!B12),IF('Monthly forecast and cash'!V7="","",'Monthly forecast and cash'!V7))="",0,IF(IF(IF(ISERROR('Monthly forecast and cash'!W5=1),'Monthly forecast and cash'!W5=1,IF('Monthly forecast and cash'!W5="","",'Monthly forecast and cash'!W5=1))="",FALSE,IF(ISERROR('Monthly forecast and cash'!W5=1),'Monthly forecast and cash'!W5=1,IF('Monthly forecast and cash'!W5="","",'Monthly forecast and cash'!W5=1))),IF('Editable assumptions'!B12="","",'Editable assumptions'!B12),IF('Monthly forecast and cash'!V7="","",'Monthly forecast and cash'!V7)))+'Monthly forecast and cash'!W6</f>
        <v>105</v>
      </c>
      <c r="X7" s="16">
        <f>IF(IF(IF(IF(ISERROR('Monthly forecast and cash'!X5=1),'Monthly forecast and cash'!X5=1,IF('Monthly forecast and cash'!X5="","",'Monthly forecast and cash'!X5=1))="",FALSE,IF(ISERROR('Monthly forecast and cash'!X5=1),'Monthly forecast and cash'!X5=1,IF('Monthly forecast and cash'!X5="","",'Monthly forecast and cash'!X5=1))),IF('Editable assumptions'!B12="","",'Editable assumptions'!B12),IF('Monthly forecast and cash'!W7="","",'Monthly forecast and cash'!W7))="",0,IF(IF(IF(ISERROR('Monthly forecast and cash'!X5=1),'Monthly forecast and cash'!X5=1,IF('Monthly forecast and cash'!X5="","",'Monthly forecast and cash'!X5=1))="",FALSE,IF(ISERROR('Monthly forecast and cash'!X5=1),'Monthly forecast and cash'!X5=1,IF('Monthly forecast and cash'!X5="","",'Monthly forecast and cash'!X5=1))),IF('Editable assumptions'!B12="","",'Editable assumptions'!B12),IF('Monthly forecast and cash'!W7="","",'Monthly forecast and cash'!W7)))+'Monthly forecast and cash'!X6</f>
        <v>110</v>
      </c>
      <c r="Y7" s="16">
        <f>IF(IF(IF(IF(ISERROR('Monthly forecast and cash'!Y5=1),'Monthly forecast and cash'!Y5=1,IF('Monthly forecast and cash'!Y5="","",'Monthly forecast and cash'!Y5=1))="",FALSE,IF(ISERROR('Monthly forecast and cash'!Y5=1),'Monthly forecast and cash'!Y5=1,IF('Monthly forecast and cash'!Y5="","",'Monthly forecast and cash'!Y5=1))),IF('Editable assumptions'!B12="","",'Editable assumptions'!B12),IF('Monthly forecast and cash'!X7="","",'Monthly forecast and cash'!X7))="",0,IF(IF(IF(ISERROR('Monthly forecast and cash'!Y5=1),'Monthly forecast and cash'!Y5=1,IF('Monthly forecast and cash'!Y5="","",'Monthly forecast and cash'!Y5=1))="",FALSE,IF(ISERROR('Monthly forecast and cash'!Y5=1),'Monthly forecast and cash'!Y5=1,IF('Monthly forecast and cash'!Y5="","",'Monthly forecast and cash'!Y5=1))),IF('Editable assumptions'!B12="","",'Editable assumptions'!B12),IF('Monthly forecast and cash'!X7="","",'Monthly forecast and cash'!X7)))+'Monthly forecast and cash'!Y6</f>
        <v>115</v>
      </c>
      <c r="Z7" s="16">
        <f>IF(IF(IF(IF(ISERROR('Monthly forecast and cash'!Z5=1),'Monthly forecast and cash'!Z5=1,IF('Monthly forecast and cash'!Z5="","",'Monthly forecast and cash'!Z5=1))="",FALSE,IF(ISERROR('Monthly forecast and cash'!Z5=1),'Monthly forecast and cash'!Z5=1,IF('Monthly forecast and cash'!Z5="","",'Monthly forecast and cash'!Z5=1))),IF('Editable assumptions'!B12="","",'Editable assumptions'!B12),IF('Monthly forecast and cash'!Y7="","",'Monthly forecast and cash'!Y7))="",0,IF(IF(IF(ISERROR('Monthly forecast and cash'!Z5=1),'Monthly forecast and cash'!Z5=1,IF('Monthly forecast and cash'!Z5="","",'Monthly forecast and cash'!Z5=1))="",FALSE,IF(ISERROR('Monthly forecast and cash'!Z5=1),'Monthly forecast and cash'!Z5=1,IF('Monthly forecast and cash'!Z5="","",'Monthly forecast and cash'!Z5=1))),IF('Editable assumptions'!B12="","",'Editable assumptions'!B12),IF('Monthly forecast and cash'!Y7="","",'Monthly forecast and cash'!Y7)))+'Monthly forecast and cash'!Z6</f>
        <v>120</v>
      </c>
    </row>
    <row r="8">
      <c r="A8" t="inlineStr" s="7">
        <is>
          <t xml:space="preserve">Active free repos</t>
        </is>
      </c>
      <c r="B8" s="9">
        <v>0</v>
      </c>
      <c r="C8" s="9">
        <f>IF('Editable assumptions'!B14="","",'Editable assumptions'!B14)</f>
        <v>50</v>
      </c>
      <c r="D8" s="9">
        <f>IF('Editable assumptions'!B14="","",'Editable assumptions'!B14)</f>
        <v>50</v>
      </c>
      <c r="E8" s="9">
        <f>IF('Editable assumptions'!B14="","",'Editable assumptions'!B14)</f>
        <v>50</v>
      </c>
      <c r="F8" s="9">
        <f>IF('Editable assumptions'!B14="","",'Editable assumptions'!B14)</f>
        <v>50</v>
      </c>
      <c r="G8" s="9">
        <f>IF('Editable assumptions'!B14="","",'Editable assumptions'!B14)</f>
        <v>50</v>
      </c>
      <c r="H8" s="9">
        <f>IF('Editable assumptions'!B14="","",'Editable assumptions'!B14)</f>
        <v>50</v>
      </c>
      <c r="I8" s="9">
        <f>IF('Editable assumptions'!B14="","",'Editable assumptions'!B14)</f>
        <v>50</v>
      </c>
      <c r="J8" s="9">
        <f>IF('Editable assumptions'!B14="","",'Editable assumptions'!B14)</f>
        <v>50</v>
      </c>
      <c r="K8" s="9">
        <f>IF('Editable assumptions'!B14="","",'Editable assumptions'!B14)</f>
        <v>50</v>
      </c>
      <c r="L8" s="9">
        <f>IF('Editable assumptions'!B14="","",'Editable assumptions'!B14)</f>
        <v>50</v>
      </c>
      <c r="M8" s="9">
        <f>IF('Editable assumptions'!B14="","",'Editable assumptions'!B14)</f>
        <v>50</v>
      </c>
      <c r="N8" s="9">
        <f>IF('Editable assumptions'!B14="","",'Editable assumptions'!B14)</f>
        <v>50</v>
      </c>
      <c r="O8" s="9">
        <f>IF('Editable assumptions'!B14="","",'Editable assumptions'!B14)</f>
        <v>50</v>
      </c>
      <c r="P8" s="9">
        <f>IF('Editable assumptions'!B14="","",'Editable assumptions'!B14)</f>
        <v>50</v>
      </c>
      <c r="Q8" s="9">
        <f>IF('Editable assumptions'!B14="","",'Editable assumptions'!B14)</f>
        <v>50</v>
      </c>
      <c r="R8" s="9">
        <f>IF('Editable assumptions'!B14="","",'Editable assumptions'!B14)</f>
        <v>50</v>
      </c>
      <c r="S8" s="9">
        <f>IF('Editable assumptions'!B14="","",'Editable assumptions'!B14)</f>
        <v>50</v>
      </c>
      <c r="T8" s="9">
        <f>IF('Editable assumptions'!B14="","",'Editable assumptions'!B14)</f>
        <v>50</v>
      </c>
      <c r="U8" s="9">
        <f>IF('Editable assumptions'!B14="","",'Editable assumptions'!B14)</f>
        <v>50</v>
      </c>
      <c r="V8" s="9">
        <f>IF('Editable assumptions'!B14="","",'Editable assumptions'!B14)</f>
        <v>50</v>
      </c>
      <c r="W8" s="9">
        <f>IF('Editable assumptions'!B14="","",'Editable assumptions'!B14)</f>
        <v>50</v>
      </c>
      <c r="X8" s="9">
        <f>IF('Editable assumptions'!B14="","",'Editable assumptions'!B14)</f>
        <v>50</v>
      </c>
      <c r="Y8" s="9">
        <f>IF('Editable assumptions'!B14="","",'Editable assumptions'!B14)</f>
        <v>50</v>
      </c>
      <c r="Z8" s="9">
        <f>IF('Editable assumptions'!B14="","",'Editable assumptions'!B14)</f>
        <v>50</v>
      </c>
    </row>
    <row r="9">
      <c r="A9" t="inlineStr" s="5">
        <is>
          <t xml:space="preserve">Investigations</t>
        </is>
      </c>
      <c r="B9" s="12">
        <f>SUM('Monthly forecast and cash'!B10,'Monthly forecast and cash'!B11)</f>
        <v>0</v>
      </c>
      <c r="C9" s="12">
        <f>SUM('Monthly forecast and cash'!C10,'Monthly forecast and cash'!C11)</f>
        <v>800</v>
      </c>
      <c r="D9" s="12">
        <f>SUM('Monthly forecast and cash'!D10,'Monthly forecast and cash'!D11)</f>
        <v>1100</v>
      </c>
      <c r="E9" s="12">
        <f>SUM('Monthly forecast and cash'!E10,'Monthly forecast and cash'!E11)</f>
        <v>1400</v>
      </c>
      <c r="F9" s="12">
        <f>SUM('Monthly forecast and cash'!F10,'Monthly forecast and cash'!F11)</f>
        <v>1700</v>
      </c>
      <c r="G9" s="12">
        <f>SUM('Monthly forecast and cash'!G10,'Monthly forecast and cash'!G11)</f>
        <v>2000</v>
      </c>
      <c r="H9" s="12">
        <f>SUM('Monthly forecast and cash'!H10,'Monthly forecast and cash'!H11)</f>
        <v>2300</v>
      </c>
      <c r="I9" s="12">
        <f>SUM('Monthly forecast and cash'!I10,'Monthly forecast and cash'!I11)</f>
        <v>2600</v>
      </c>
      <c r="J9" s="12">
        <f>SUM('Monthly forecast and cash'!J10,'Monthly forecast and cash'!J11)</f>
        <v>2900</v>
      </c>
      <c r="K9" s="12">
        <f>SUM('Monthly forecast and cash'!K10,'Monthly forecast and cash'!K11)</f>
        <v>3200</v>
      </c>
      <c r="L9" s="12">
        <f>SUM('Monthly forecast and cash'!L10,'Monthly forecast and cash'!L11)</f>
        <v>3500</v>
      </c>
      <c r="M9" s="12">
        <f>SUM('Monthly forecast and cash'!M10,'Monthly forecast and cash'!M11)</f>
        <v>3800</v>
      </c>
      <c r="N9" s="12">
        <f>SUM('Monthly forecast and cash'!N10,'Monthly forecast and cash'!N11)</f>
        <v>4100</v>
      </c>
      <c r="O9" s="12">
        <f>SUM('Monthly forecast and cash'!O10,'Monthly forecast and cash'!O11)</f>
        <v>4400</v>
      </c>
      <c r="P9" s="12">
        <f>SUM('Monthly forecast and cash'!P10,'Monthly forecast and cash'!P11)</f>
        <v>4700</v>
      </c>
      <c r="Q9" s="12">
        <f>SUM('Monthly forecast and cash'!Q10,'Monthly forecast and cash'!Q11)</f>
        <v>5000</v>
      </c>
      <c r="R9" s="12">
        <f>SUM('Monthly forecast and cash'!R10,'Monthly forecast and cash'!R11)</f>
        <v>5300</v>
      </c>
      <c r="S9" s="12">
        <f>SUM('Monthly forecast and cash'!S10,'Monthly forecast and cash'!S11)</f>
        <v>5600</v>
      </c>
      <c r="T9" s="12">
        <f>SUM('Monthly forecast and cash'!T10,'Monthly forecast and cash'!T11)</f>
        <v>5900</v>
      </c>
      <c r="U9" s="12">
        <f>SUM('Monthly forecast and cash'!U10,'Monthly forecast and cash'!U11)</f>
        <v>6200</v>
      </c>
      <c r="V9" s="12">
        <f>SUM('Monthly forecast and cash'!V10,'Monthly forecast and cash'!V11)</f>
        <v>6500</v>
      </c>
      <c r="W9" s="12">
        <f>SUM('Monthly forecast and cash'!W10,'Monthly forecast and cash'!W11)</f>
        <v>6800</v>
      </c>
      <c r="X9" s="12">
        <f>SUM('Monthly forecast and cash'!X10,'Monthly forecast and cash'!X11)</f>
        <v>7100</v>
      </c>
      <c r="Y9" s="12">
        <f>SUM('Monthly forecast and cash'!Y10,'Monthly forecast and cash'!Y11)</f>
        <v>7400</v>
      </c>
      <c r="Z9" s="12">
        <f>SUM('Monthly forecast and cash'!Z10,'Monthly forecast and cash'!Z11)</f>
        <v>7700</v>
      </c>
    </row>
    <row r="10" outlineLevel="1">
      <c r="A10" t="inlineStr" s="17">
        <is>
          <t xml:space="preserve">Free</t>
        </is>
      </c>
      <c r="B10" s="9">
        <f>0</f>
        <v>0</v>
      </c>
      <c r="C10" s="9">
        <f>IF(IF(EXACT("Free","Team"),IF('Monthly forecast and cash'!C7="","",'Monthly forecast and cash'!C7),IF('Monthly forecast and cash'!C8="","",'Monthly forecast and cash'!C8))="",0,IF(EXACT("Free","Team"),IF('Monthly forecast and cash'!C7="","",'Monthly forecast and cash'!C7),IF('Monthly forecast and cash'!C8="","",'Monthly forecast and cash'!C8)))*'Unit economics by plan'!D5</f>
        <v>500</v>
      </c>
      <c r="D10" s="9">
        <f>IF(IF(EXACT("Free","Team"),IF('Monthly forecast and cash'!D7="","",'Monthly forecast and cash'!D7),IF('Monthly forecast and cash'!D8="","",'Monthly forecast and cash'!D8))="",0,IF(EXACT("Free","Team"),IF('Monthly forecast and cash'!D7="","",'Monthly forecast and cash'!D7),IF('Monthly forecast and cash'!D8="","",'Monthly forecast and cash'!D8)))*'Unit economics by plan'!D5</f>
        <v>500</v>
      </c>
      <c r="E10" s="9">
        <f>IF(IF(EXACT("Free","Team"),IF('Monthly forecast and cash'!E7="","",'Monthly forecast and cash'!E7),IF('Monthly forecast and cash'!E8="","",'Monthly forecast and cash'!E8))="",0,IF(EXACT("Free","Team"),IF('Monthly forecast and cash'!E7="","",'Monthly forecast and cash'!E7),IF('Monthly forecast and cash'!E8="","",'Monthly forecast and cash'!E8)))*'Unit economics by plan'!D5</f>
        <v>500</v>
      </c>
      <c r="F10" s="9">
        <f>IF(IF(EXACT("Free","Team"),IF('Monthly forecast and cash'!F7="","",'Monthly forecast and cash'!F7),IF('Monthly forecast and cash'!F8="","",'Monthly forecast and cash'!F8))="",0,IF(EXACT("Free","Team"),IF('Monthly forecast and cash'!F7="","",'Monthly forecast and cash'!F7),IF('Monthly forecast and cash'!F8="","",'Monthly forecast and cash'!F8)))*'Unit economics by plan'!D5</f>
        <v>500</v>
      </c>
      <c r="G10" s="9">
        <f>IF(IF(EXACT("Free","Team"),IF('Monthly forecast and cash'!G7="","",'Monthly forecast and cash'!G7),IF('Monthly forecast and cash'!G8="","",'Monthly forecast and cash'!G8))="",0,IF(EXACT("Free","Team"),IF('Monthly forecast and cash'!G7="","",'Monthly forecast and cash'!G7),IF('Monthly forecast and cash'!G8="","",'Monthly forecast and cash'!G8)))*'Unit economics by plan'!D5</f>
        <v>500</v>
      </c>
      <c r="H10" s="9">
        <f>IF(IF(EXACT("Free","Team"),IF('Monthly forecast and cash'!H7="","",'Monthly forecast and cash'!H7),IF('Monthly forecast and cash'!H8="","",'Monthly forecast and cash'!H8))="",0,IF(EXACT("Free","Team"),IF('Monthly forecast and cash'!H7="","",'Monthly forecast and cash'!H7),IF('Monthly forecast and cash'!H8="","",'Monthly forecast and cash'!H8)))*'Unit economics by plan'!D5</f>
        <v>500</v>
      </c>
      <c r="I10" s="9">
        <f>IF(IF(EXACT("Free","Team"),IF('Monthly forecast and cash'!I7="","",'Monthly forecast and cash'!I7),IF('Monthly forecast and cash'!I8="","",'Monthly forecast and cash'!I8))="",0,IF(EXACT("Free","Team"),IF('Monthly forecast and cash'!I7="","",'Monthly forecast and cash'!I7),IF('Monthly forecast and cash'!I8="","",'Monthly forecast and cash'!I8)))*'Unit economics by plan'!D5</f>
        <v>500</v>
      </c>
      <c r="J10" s="9">
        <f>IF(IF(EXACT("Free","Team"),IF('Monthly forecast and cash'!J7="","",'Monthly forecast and cash'!J7),IF('Monthly forecast and cash'!J8="","",'Monthly forecast and cash'!J8))="",0,IF(EXACT("Free","Team"),IF('Monthly forecast and cash'!J7="","",'Monthly forecast and cash'!J7),IF('Monthly forecast and cash'!J8="","",'Monthly forecast and cash'!J8)))*'Unit economics by plan'!D5</f>
        <v>500</v>
      </c>
      <c r="K10" s="9">
        <f>IF(IF(EXACT("Free","Team"),IF('Monthly forecast and cash'!K7="","",'Monthly forecast and cash'!K7),IF('Monthly forecast and cash'!K8="","",'Monthly forecast and cash'!K8))="",0,IF(EXACT("Free","Team"),IF('Monthly forecast and cash'!K7="","",'Monthly forecast and cash'!K7),IF('Monthly forecast and cash'!K8="","",'Monthly forecast and cash'!K8)))*'Unit economics by plan'!D5</f>
        <v>500</v>
      </c>
      <c r="L10" s="9">
        <f>IF(IF(EXACT("Free","Team"),IF('Monthly forecast and cash'!L7="","",'Monthly forecast and cash'!L7),IF('Monthly forecast and cash'!L8="","",'Monthly forecast and cash'!L8))="",0,IF(EXACT("Free","Team"),IF('Monthly forecast and cash'!L7="","",'Monthly forecast and cash'!L7),IF('Monthly forecast and cash'!L8="","",'Monthly forecast and cash'!L8)))*'Unit economics by plan'!D5</f>
        <v>500</v>
      </c>
      <c r="M10" s="9">
        <f>IF(IF(EXACT("Free","Team"),IF('Monthly forecast and cash'!M7="","",'Monthly forecast and cash'!M7),IF('Monthly forecast and cash'!M8="","",'Monthly forecast and cash'!M8))="",0,IF(EXACT("Free","Team"),IF('Monthly forecast and cash'!M7="","",'Monthly forecast and cash'!M7),IF('Monthly forecast and cash'!M8="","",'Monthly forecast and cash'!M8)))*'Unit economics by plan'!D5</f>
        <v>500</v>
      </c>
      <c r="N10" s="9">
        <f>IF(IF(EXACT("Free","Team"),IF('Monthly forecast and cash'!N7="","",'Monthly forecast and cash'!N7),IF('Monthly forecast and cash'!N8="","",'Monthly forecast and cash'!N8))="",0,IF(EXACT("Free","Team"),IF('Monthly forecast and cash'!N7="","",'Monthly forecast and cash'!N7),IF('Monthly forecast and cash'!N8="","",'Monthly forecast and cash'!N8)))*'Unit economics by plan'!D5</f>
        <v>500</v>
      </c>
      <c r="O10" s="9">
        <f>IF(IF(EXACT("Free","Team"),IF('Monthly forecast and cash'!O7="","",'Monthly forecast and cash'!O7),IF('Monthly forecast and cash'!O8="","",'Monthly forecast and cash'!O8))="",0,IF(EXACT("Free","Team"),IF('Monthly forecast and cash'!O7="","",'Monthly forecast and cash'!O7),IF('Monthly forecast and cash'!O8="","",'Monthly forecast and cash'!O8)))*'Unit economics by plan'!D5</f>
        <v>500</v>
      </c>
      <c r="P10" s="9">
        <f>IF(IF(EXACT("Free","Team"),IF('Monthly forecast and cash'!P7="","",'Monthly forecast and cash'!P7),IF('Monthly forecast and cash'!P8="","",'Monthly forecast and cash'!P8))="",0,IF(EXACT("Free","Team"),IF('Monthly forecast and cash'!P7="","",'Monthly forecast and cash'!P7),IF('Monthly forecast and cash'!P8="","",'Monthly forecast and cash'!P8)))*'Unit economics by plan'!D5</f>
        <v>500</v>
      </c>
      <c r="Q10" s="9">
        <f>IF(IF(EXACT("Free","Team"),IF('Monthly forecast and cash'!Q7="","",'Monthly forecast and cash'!Q7),IF('Monthly forecast and cash'!Q8="","",'Monthly forecast and cash'!Q8))="",0,IF(EXACT("Free","Team"),IF('Monthly forecast and cash'!Q7="","",'Monthly forecast and cash'!Q7),IF('Monthly forecast and cash'!Q8="","",'Monthly forecast and cash'!Q8)))*'Unit economics by plan'!D5</f>
        <v>500</v>
      </c>
      <c r="R10" s="9">
        <f>IF(IF(EXACT("Free","Team"),IF('Monthly forecast and cash'!R7="","",'Monthly forecast and cash'!R7),IF('Monthly forecast and cash'!R8="","",'Monthly forecast and cash'!R8))="",0,IF(EXACT("Free","Team"),IF('Monthly forecast and cash'!R7="","",'Monthly forecast and cash'!R7),IF('Monthly forecast and cash'!R8="","",'Monthly forecast and cash'!R8)))*'Unit economics by plan'!D5</f>
        <v>500</v>
      </c>
      <c r="S10" s="9">
        <f>IF(IF(EXACT("Free","Team"),IF('Monthly forecast and cash'!S7="","",'Monthly forecast and cash'!S7),IF('Monthly forecast and cash'!S8="","",'Monthly forecast and cash'!S8))="",0,IF(EXACT("Free","Team"),IF('Monthly forecast and cash'!S7="","",'Monthly forecast and cash'!S7),IF('Monthly forecast and cash'!S8="","",'Monthly forecast and cash'!S8)))*'Unit economics by plan'!D5</f>
        <v>500</v>
      </c>
      <c r="T10" s="9">
        <f>IF(IF(EXACT("Free","Team"),IF('Monthly forecast and cash'!T7="","",'Monthly forecast and cash'!T7),IF('Monthly forecast and cash'!T8="","",'Monthly forecast and cash'!T8))="",0,IF(EXACT("Free","Team"),IF('Monthly forecast and cash'!T7="","",'Monthly forecast and cash'!T7),IF('Monthly forecast and cash'!T8="","",'Monthly forecast and cash'!T8)))*'Unit economics by plan'!D5</f>
        <v>500</v>
      </c>
      <c r="U10" s="9">
        <f>IF(IF(EXACT("Free","Team"),IF('Monthly forecast and cash'!U7="","",'Monthly forecast and cash'!U7),IF('Monthly forecast and cash'!U8="","",'Monthly forecast and cash'!U8))="",0,IF(EXACT("Free","Team"),IF('Monthly forecast and cash'!U7="","",'Monthly forecast and cash'!U7),IF('Monthly forecast and cash'!U8="","",'Monthly forecast and cash'!U8)))*'Unit economics by plan'!D5</f>
        <v>500</v>
      </c>
      <c r="V10" s="9">
        <f>IF(IF(EXACT("Free","Team"),IF('Monthly forecast and cash'!V7="","",'Monthly forecast and cash'!V7),IF('Monthly forecast and cash'!V8="","",'Monthly forecast and cash'!V8))="",0,IF(EXACT("Free","Team"),IF('Monthly forecast and cash'!V7="","",'Monthly forecast and cash'!V7),IF('Monthly forecast and cash'!V8="","",'Monthly forecast and cash'!V8)))*'Unit economics by plan'!D5</f>
        <v>500</v>
      </c>
      <c r="W10" s="9">
        <f>IF(IF(EXACT("Free","Team"),IF('Monthly forecast and cash'!W7="","",'Monthly forecast and cash'!W7),IF('Monthly forecast and cash'!W8="","",'Monthly forecast and cash'!W8))="",0,IF(EXACT("Free","Team"),IF('Monthly forecast and cash'!W7="","",'Monthly forecast and cash'!W7),IF('Monthly forecast and cash'!W8="","",'Monthly forecast and cash'!W8)))*'Unit economics by plan'!D5</f>
        <v>500</v>
      </c>
      <c r="X10" s="9">
        <f>IF(IF(EXACT("Free","Team"),IF('Monthly forecast and cash'!X7="","",'Monthly forecast and cash'!X7),IF('Monthly forecast and cash'!X8="","",'Monthly forecast and cash'!X8))="",0,IF(EXACT("Free","Team"),IF('Monthly forecast and cash'!X7="","",'Monthly forecast and cash'!X7),IF('Monthly forecast and cash'!X8="","",'Monthly forecast and cash'!X8)))*'Unit economics by plan'!D5</f>
        <v>500</v>
      </c>
      <c r="Y10" s="9">
        <f>IF(IF(EXACT("Free","Team"),IF('Monthly forecast and cash'!Y7="","",'Monthly forecast and cash'!Y7),IF('Monthly forecast and cash'!Y8="","",'Monthly forecast and cash'!Y8))="",0,IF(EXACT("Free","Team"),IF('Monthly forecast and cash'!Y7="","",'Monthly forecast and cash'!Y7),IF('Monthly forecast and cash'!Y8="","",'Monthly forecast and cash'!Y8)))*'Unit economics by plan'!D5</f>
        <v>500</v>
      </c>
      <c r="Z10" s="9">
        <f>IF(IF(EXACT("Free","Team"),IF('Monthly forecast and cash'!Z7="","",'Monthly forecast and cash'!Z7),IF('Monthly forecast and cash'!Z8="","",'Monthly forecast and cash'!Z8))="",0,IF(EXACT("Free","Team"),IF('Monthly forecast and cash'!Z7="","",'Monthly forecast and cash'!Z7),IF('Monthly forecast and cash'!Z8="","",'Monthly forecast and cash'!Z8)))*'Unit economics by plan'!D5</f>
        <v>500</v>
      </c>
    </row>
    <row r="11" outlineLevel="1">
      <c r="A11" t="inlineStr" s="17">
        <is>
          <t xml:space="preserve">Team</t>
        </is>
      </c>
      <c r="B11" s="9">
        <f>0</f>
        <v>0</v>
      </c>
      <c r="C11" s="9">
        <f>IF(IF(EXACT("Team","Team"),IF('Monthly forecast and cash'!C7="","",'Monthly forecast and cash'!C7),IF('Monthly forecast and cash'!C8="","",'Monthly forecast and cash'!C8))="",0,IF(EXACT("Team","Team"),IF('Monthly forecast and cash'!C7="","",'Monthly forecast and cash'!C7),IF('Monthly forecast and cash'!C8="","",'Monthly forecast and cash'!C8)))*'Unit economics by plan'!D6</f>
        <v>300</v>
      </c>
      <c r="D11" s="9">
        <f>IF(IF(EXACT("Team","Team"),IF('Monthly forecast and cash'!D7="","",'Monthly forecast and cash'!D7),IF('Monthly forecast and cash'!D8="","",'Monthly forecast and cash'!D8))="",0,IF(EXACT("Team","Team"),IF('Monthly forecast and cash'!D7="","",'Monthly forecast and cash'!D7),IF('Monthly forecast and cash'!D8="","",'Monthly forecast and cash'!D8)))*'Unit economics by plan'!D6</f>
        <v>600</v>
      </c>
      <c r="E11" s="9">
        <f>IF(IF(EXACT("Team","Team"),IF('Monthly forecast and cash'!E7="","",'Monthly forecast and cash'!E7),IF('Monthly forecast and cash'!E8="","",'Monthly forecast and cash'!E8))="",0,IF(EXACT("Team","Team"),IF('Monthly forecast and cash'!E7="","",'Monthly forecast and cash'!E7),IF('Monthly forecast and cash'!E8="","",'Monthly forecast and cash'!E8)))*'Unit economics by plan'!D6</f>
        <v>900</v>
      </c>
      <c r="F11" s="9">
        <f>IF(IF(EXACT("Team","Team"),IF('Monthly forecast and cash'!F7="","",'Monthly forecast and cash'!F7),IF('Monthly forecast and cash'!F8="","",'Monthly forecast and cash'!F8))="",0,IF(EXACT("Team","Team"),IF('Monthly forecast and cash'!F7="","",'Monthly forecast and cash'!F7),IF('Monthly forecast and cash'!F8="","",'Monthly forecast and cash'!F8)))*'Unit economics by plan'!D6</f>
        <v>1200</v>
      </c>
      <c r="G11" s="9">
        <f>IF(IF(EXACT("Team","Team"),IF('Monthly forecast and cash'!G7="","",'Monthly forecast and cash'!G7),IF('Monthly forecast and cash'!G8="","",'Monthly forecast and cash'!G8))="",0,IF(EXACT("Team","Team"),IF('Monthly forecast and cash'!G7="","",'Monthly forecast and cash'!G7),IF('Monthly forecast and cash'!G8="","",'Monthly forecast and cash'!G8)))*'Unit economics by plan'!D6</f>
        <v>1500</v>
      </c>
      <c r="H11" s="9">
        <f>IF(IF(EXACT("Team","Team"),IF('Monthly forecast and cash'!H7="","",'Monthly forecast and cash'!H7),IF('Monthly forecast and cash'!H8="","",'Monthly forecast and cash'!H8))="",0,IF(EXACT("Team","Team"),IF('Monthly forecast and cash'!H7="","",'Monthly forecast and cash'!H7),IF('Monthly forecast and cash'!H8="","",'Monthly forecast and cash'!H8)))*'Unit economics by plan'!D6</f>
        <v>1800</v>
      </c>
      <c r="I11" s="9">
        <f>IF(IF(EXACT("Team","Team"),IF('Monthly forecast and cash'!I7="","",'Monthly forecast and cash'!I7),IF('Monthly forecast and cash'!I8="","",'Monthly forecast and cash'!I8))="",0,IF(EXACT("Team","Team"),IF('Monthly forecast and cash'!I7="","",'Monthly forecast and cash'!I7),IF('Monthly forecast and cash'!I8="","",'Monthly forecast and cash'!I8)))*'Unit economics by plan'!D6</f>
        <v>2100</v>
      </c>
      <c r="J11" s="9">
        <f>IF(IF(EXACT("Team","Team"),IF('Monthly forecast and cash'!J7="","",'Monthly forecast and cash'!J7),IF('Monthly forecast and cash'!J8="","",'Monthly forecast and cash'!J8))="",0,IF(EXACT("Team","Team"),IF('Monthly forecast and cash'!J7="","",'Monthly forecast and cash'!J7),IF('Monthly forecast and cash'!J8="","",'Monthly forecast and cash'!J8)))*'Unit economics by plan'!D6</f>
        <v>2400</v>
      </c>
      <c r="K11" s="9">
        <f>IF(IF(EXACT("Team","Team"),IF('Monthly forecast and cash'!K7="","",'Monthly forecast and cash'!K7),IF('Monthly forecast and cash'!K8="","",'Monthly forecast and cash'!K8))="",0,IF(EXACT("Team","Team"),IF('Monthly forecast and cash'!K7="","",'Monthly forecast and cash'!K7),IF('Monthly forecast and cash'!K8="","",'Monthly forecast and cash'!K8)))*'Unit economics by plan'!D6</f>
        <v>2700</v>
      </c>
      <c r="L11" s="9">
        <f>IF(IF(EXACT("Team","Team"),IF('Monthly forecast and cash'!L7="","",'Monthly forecast and cash'!L7),IF('Monthly forecast and cash'!L8="","",'Monthly forecast and cash'!L8))="",0,IF(EXACT("Team","Team"),IF('Monthly forecast and cash'!L7="","",'Monthly forecast and cash'!L7),IF('Monthly forecast and cash'!L8="","",'Monthly forecast and cash'!L8)))*'Unit economics by plan'!D6</f>
        <v>3000</v>
      </c>
      <c r="M11" s="9">
        <f>IF(IF(EXACT("Team","Team"),IF('Monthly forecast and cash'!M7="","",'Monthly forecast and cash'!M7),IF('Monthly forecast and cash'!M8="","",'Monthly forecast and cash'!M8))="",0,IF(EXACT("Team","Team"),IF('Monthly forecast and cash'!M7="","",'Monthly forecast and cash'!M7),IF('Monthly forecast and cash'!M8="","",'Monthly forecast and cash'!M8)))*'Unit economics by plan'!D6</f>
        <v>3300</v>
      </c>
      <c r="N11" s="9">
        <f>IF(IF(EXACT("Team","Team"),IF('Monthly forecast and cash'!N7="","",'Monthly forecast and cash'!N7),IF('Monthly forecast and cash'!N8="","",'Monthly forecast and cash'!N8))="",0,IF(EXACT("Team","Team"),IF('Monthly forecast and cash'!N7="","",'Monthly forecast and cash'!N7),IF('Monthly forecast and cash'!N8="","",'Monthly forecast and cash'!N8)))*'Unit economics by plan'!D6</f>
        <v>3600</v>
      </c>
      <c r="O11" s="9">
        <f>IF(IF(EXACT("Team","Team"),IF('Monthly forecast and cash'!O7="","",'Monthly forecast and cash'!O7),IF('Monthly forecast and cash'!O8="","",'Monthly forecast and cash'!O8))="",0,IF(EXACT("Team","Team"),IF('Monthly forecast and cash'!O7="","",'Monthly forecast and cash'!O7),IF('Monthly forecast and cash'!O8="","",'Monthly forecast and cash'!O8)))*'Unit economics by plan'!D6</f>
        <v>3900</v>
      </c>
      <c r="P11" s="9">
        <f>IF(IF(EXACT("Team","Team"),IF('Monthly forecast and cash'!P7="","",'Monthly forecast and cash'!P7),IF('Monthly forecast and cash'!P8="","",'Monthly forecast and cash'!P8))="",0,IF(EXACT("Team","Team"),IF('Monthly forecast and cash'!P7="","",'Monthly forecast and cash'!P7),IF('Monthly forecast and cash'!P8="","",'Monthly forecast and cash'!P8)))*'Unit economics by plan'!D6</f>
        <v>4200</v>
      </c>
      <c r="Q11" s="9">
        <f>IF(IF(EXACT("Team","Team"),IF('Monthly forecast and cash'!Q7="","",'Monthly forecast and cash'!Q7),IF('Monthly forecast and cash'!Q8="","",'Monthly forecast and cash'!Q8))="",0,IF(EXACT("Team","Team"),IF('Monthly forecast and cash'!Q7="","",'Monthly forecast and cash'!Q7),IF('Monthly forecast and cash'!Q8="","",'Monthly forecast and cash'!Q8)))*'Unit economics by plan'!D6</f>
        <v>4500</v>
      </c>
      <c r="R11" s="9">
        <f>IF(IF(EXACT("Team","Team"),IF('Monthly forecast and cash'!R7="","",'Monthly forecast and cash'!R7),IF('Monthly forecast and cash'!R8="","",'Monthly forecast and cash'!R8))="",0,IF(EXACT("Team","Team"),IF('Monthly forecast and cash'!R7="","",'Monthly forecast and cash'!R7),IF('Monthly forecast and cash'!R8="","",'Monthly forecast and cash'!R8)))*'Unit economics by plan'!D6</f>
        <v>4800</v>
      </c>
      <c r="S11" s="9">
        <f>IF(IF(EXACT("Team","Team"),IF('Monthly forecast and cash'!S7="","",'Monthly forecast and cash'!S7),IF('Monthly forecast and cash'!S8="","",'Monthly forecast and cash'!S8))="",0,IF(EXACT("Team","Team"),IF('Monthly forecast and cash'!S7="","",'Monthly forecast and cash'!S7),IF('Monthly forecast and cash'!S8="","",'Monthly forecast and cash'!S8)))*'Unit economics by plan'!D6</f>
        <v>5100</v>
      </c>
      <c r="T11" s="9">
        <f>IF(IF(EXACT("Team","Team"),IF('Monthly forecast and cash'!T7="","",'Monthly forecast and cash'!T7),IF('Monthly forecast and cash'!T8="","",'Monthly forecast and cash'!T8))="",0,IF(EXACT("Team","Team"),IF('Monthly forecast and cash'!T7="","",'Monthly forecast and cash'!T7),IF('Monthly forecast and cash'!T8="","",'Monthly forecast and cash'!T8)))*'Unit economics by plan'!D6</f>
        <v>5400</v>
      </c>
      <c r="U11" s="9">
        <f>IF(IF(EXACT("Team","Team"),IF('Monthly forecast and cash'!U7="","",'Monthly forecast and cash'!U7),IF('Monthly forecast and cash'!U8="","",'Monthly forecast and cash'!U8))="",0,IF(EXACT("Team","Team"),IF('Monthly forecast and cash'!U7="","",'Monthly forecast and cash'!U7),IF('Monthly forecast and cash'!U8="","",'Monthly forecast and cash'!U8)))*'Unit economics by plan'!D6</f>
        <v>5700</v>
      </c>
      <c r="V11" s="9">
        <f>IF(IF(EXACT("Team","Team"),IF('Monthly forecast and cash'!V7="","",'Monthly forecast and cash'!V7),IF('Monthly forecast and cash'!V8="","",'Monthly forecast and cash'!V8))="",0,IF(EXACT("Team","Team"),IF('Monthly forecast and cash'!V7="","",'Monthly forecast and cash'!V7),IF('Monthly forecast and cash'!V8="","",'Monthly forecast and cash'!V8)))*'Unit economics by plan'!D6</f>
        <v>6000</v>
      </c>
      <c r="W11" s="9">
        <f>IF(IF(EXACT("Team","Team"),IF('Monthly forecast and cash'!W7="","",'Monthly forecast and cash'!W7),IF('Monthly forecast and cash'!W8="","",'Monthly forecast and cash'!W8))="",0,IF(EXACT("Team","Team"),IF('Monthly forecast and cash'!W7="","",'Monthly forecast and cash'!W7),IF('Monthly forecast and cash'!W8="","",'Monthly forecast and cash'!W8)))*'Unit economics by plan'!D6</f>
        <v>6300</v>
      </c>
      <c r="X11" s="9">
        <f>IF(IF(EXACT("Team","Team"),IF('Monthly forecast and cash'!X7="","",'Monthly forecast and cash'!X7),IF('Monthly forecast and cash'!X8="","",'Monthly forecast and cash'!X8))="",0,IF(EXACT("Team","Team"),IF('Monthly forecast and cash'!X7="","",'Monthly forecast and cash'!X7),IF('Monthly forecast and cash'!X8="","",'Monthly forecast and cash'!X8)))*'Unit economics by plan'!D6</f>
        <v>6600</v>
      </c>
      <c r="Y11" s="9">
        <f>IF(IF(EXACT("Team","Team"),IF('Monthly forecast and cash'!Y7="","",'Monthly forecast and cash'!Y7),IF('Monthly forecast and cash'!Y8="","",'Monthly forecast and cash'!Y8))="",0,IF(EXACT("Team","Team"),IF('Monthly forecast and cash'!Y7="","",'Monthly forecast and cash'!Y7),IF('Monthly forecast and cash'!Y8="","",'Monthly forecast and cash'!Y8)))*'Unit economics by plan'!D6</f>
        <v>6900</v>
      </c>
      <c r="Z11" s="9">
        <f>IF(IF(EXACT("Team","Team"),IF('Monthly forecast and cash'!Z7="","",'Monthly forecast and cash'!Z7),IF('Monthly forecast and cash'!Z8="","",'Monthly forecast and cash'!Z8))="",0,IF(EXACT("Team","Team"),IF('Monthly forecast and cash'!Z7="","",'Monthly forecast and cash'!Z7),IF('Monthly forecast and cash'!Z8="","",'Monthly forecast and cash'!Z8)))*'Unit economics by plan'!D6</f>
        <v>7200</v>
      </c>
    </row>
    <row r="12">
      <c r="A12" t="inlineStr" s="5">
        <is>
          <t xml:space="preserve">Revenue</t>
        </is>
      </c>
      <c r="B12" s="13">
        <f>SUM('Monthly forecast and cash'!B13,'Monthly forecast and cash'!B14)</f>
        <v>0</v>
      </c>
      <c r="C12" s="13">
        <f>SUM('Monthly forecast and cash'!C13,'Monthly forecast and cash'!C14)</f>
        <v>495</v>
      </c>
      <c r="D12" s="13">
        <f>SUM('Monthly forecast and cash'!D13,'Monthly forecast and cash'!D14)</f>
        <v>990</v>
      </c>
      <c r="E12" s="13">
        <f>SUM('Monthly forecast and cash'!E13,'Monthly forecast and cash'!E14)</f>
        <v>1485</v>
      </c>
      <c r="F12" s="13">
        <f>SUM('Monthly forecast and cash'!F13,'Monthly forecast and cash'!F14)</f>
        <v>1980</v>
      </c>
      <c r="G12" s="13">
        <f>SUM('Monthly forecast and cash'!G13,'Monthly forecast and cash'!G14)</f>
        <v>2475</v>
      </c>
      <c r="H12" s="13">
        <f>SUM('Monthly forecast and cash'!H13,'Monthly forecast and cash'!H14)</f>
        <v>2970</v>
      </c>
      <c r="I12" s="13">
        <f>SUM('Monthly forecast and cash'!I13,'Monthly forecast and cash'!I14)</f>
        <v>3465</v>
      </c>
      <c r="J12" s="13">
        <f>SUM('Monthly forecast and cash'!J13,'Monthly forecast and cash'!J14)</f>
        <v>3960</v>
      </c>
      <c r="K12" s="13">
        <f>SUM('Monthly forecast and cash'!K13,'Monthly forecast and cash'!K14)</f>
        <v>4455</v>
      </c>
      <c r="L12" s="13">
        <f>SUM('Monthly forecast and cash'!L13,'Monthly forecast and cash'!L14)</f>
        <v>4950</v>
      </c>
      <c r="M12" s="13">
        <f>SUM('Monthly forecast and cash'!M13,'Monthly forecast and cash'!M14)</f>
        <v>5445</v>
      </c>
      <c r="N12" s="13">
        <f>SUM('Monthly forecast and cash'!N13,'Monthly forecast and cash'!N14)</f>
        <v>5940</v>
      </c>
      <c r="O12" s="13">
        <f>SUM('Monthly forecast and cash'!O13,'Monthly forecast and cash'!O14)</f>
        <v>6435</v>
      </c>
      <c r="P12" s="13">
        <f>SUM('Monthly forecast and cash'!P13,'Monthly forecast and cash'!P14)</f>
        <v>6930</v>
      </c>
      <c r="Q12" s="13">
        <f>SUM('Monthly forecast and cash'!Q13,'Monthly forecast and cash'!Q14)</f>
        <v>7425</v>
      </c>
      <c r="R12" s="13">
        <f>SUM('Monthly forecast and cash'!R13,'Monthly forecast and cash'!R14)</f>
        <v>7920</v>
      </c>
      <c r="S12" s="13">
        <f>SUM('Monthly forecast and cash'!S13,'Monthly forecast and cash'!S14)</f>
        <v>8415</v>
      </c>
      <c r="T12" s="13">
        <f>SUM('Monthly forecast and cash'!T13,'Monthly forecast and cash'!T14)</f>
        <v>8910</v>
      </c>
      <c r="U12" s="13">
        <f>SUM('Monthly forecast and cash'!U13,'Monthly forecast and cash'!U14)</f>
        <v>9405</v>
      </c>
      <c r="V12" s="13">
        <f>SUM('Monthly forecast and cash'!V13,'Monthly forecast and cash'!V14)</f>
        <v>9900</v>
      </c>
      <c r="W12" s="13">
        <f>SUM('Monthly forecast and cash'!W13,'Monthly forecast and cash'!W14)</f>
        <v>10395</v>
      </c>
      <c r="X12" s="13">
        <f>SUM('Monthly forecast and cash'!X13,'Monthly forecast and cash'!X14)</f>
        <v>10890</v>
      </c>
      <c r="Y12" s="13">
        <f>SUM('Monthly forecast and cash'!Y13,'Monthly forecast and cash'!Y14)</f>
        <v>11385</v>
      </c>
      <c r="Z12" s="13">
        <f>SUM('Monthly forecast and cash'!Z13,'Monthly forecast and cash'!Z14)</f>
        <v>11880</v>
      </c>
    </row>
    <row r="13" outlineLevel="1">
      <c r="A13" t="inlineStr" s="17">
        <is>
          <t xml:space="preserve">Free</t>
        </is>
      </c>
      <c r="B13" s="10">
        <f>0</f>
        <v>0</v>
      </c>
      <c r="C13" s="10">
        <f>IF(IF(EXACT("Free","Team"),IF('Monthly forecast and cash'!C7="","",'Monthly forecast and cash'!C7),IF('Monthly forecast and cash'!C8="","",'Monthly forecast and cash'!C8))="",0,IF(EXACT("Free","Team"),IF('Monthly forecast and cash'!C7="","",'Monthly forecast and cash'!C7),IF('Monthly forecast and cash'!C8="","",'Monthly forecast and cash'!C8)))*'Unit economics by plan'!F5</f>
        <v>0</v>
      </c>
      <c r="D13" s="10">
        <f>IF(IF(EXACT("Free","Team"),IF('Monthly forecast and cash'!D7="","",'Monthly forecast and cash'!D7),IF('Monthly forecast and cash'!D8="","",'Monthly forecast and cash'!D8))="",0,IF(EXACT("Free","Team"),IF('Monthly forecast and cash'!D7="","",'Monthly forecast and cash'!D7),IF('Monthly forecast and cash'!D8="","",'Monthly forecast and cash'!D8)))*'Unit economics by plan'!F5</f>
        <v>0</v>
      </c>
      <c r="E13" s="10">
        <f>IF(IF(EXACT("Free","Team"),IF('Monthly forecast and cash'!E7="","",'Monthly forecast and cash'!E7),IF('Monthly forecast and cash'!E8="","",'Monthly forecast and cash'!E8))="",0,IF(EXACT("Free","Team"),IF('Monthly forecast and cash'!E7="","",'Monthly forecast and cash'!E7),IF('Monthly forecast and cash'!E8="","",'Monthly forecast and cash'!E8)))*'Unit economics by plan'!F5</f>
        <v>0</v>
      </c>
      <c r="F13" s="10">
        <f>IF(IF(EXACT("Free","Team"),IF('Monthly forecast and cash'!F7="","",'Monthly forecast and cash'!F7),IF('Monthly forecast and cash'!F8="","",'Monthly forecast and cash'!F8))="",0,IF(EXACT("Free","Team"),IF('Monthly forecast and cash'!F7="","",'Monthly forecast and cash'!F7),IF('Monthly forecast and cash'!F8="","",'Monthly forecast and cash'!F8)))*'Unit economics by plan'!F5</f>
        <v>0</v>
      </c>
      <c r="G13" s="10">
        <f>IF(IF(EXACT("Free","Team"),IF('Monthly forecast and cash'!G7="","",'Monthly forecast and cash'!G7),IF('Monthly forecast and cash'!G8="","",'Monthly forecast and cash'!G8))="",0,IF(EXACT("Free","Team"),IF('Monthly forecast and cash'!G7="","",'Monthly forecast and cash'!G7),IF('Monthly forecast and cash'!G8="","",'Monthly forecast and cash'!G8)))*'Unit economics by plan'!F5</f>
        <v>0</v>
      </c>
      <c r="H13" s="10">
        <f>IF(IF(EXACT("Free","Team"),IF('Monthly forecast and cash'!H7="","",'Monthly forecast and cash'!H7),IF('Monthly forecast and cash'!H8="","",'Monthly forecast and cash'!H8))="",0,IF(EXACT("Free","Team"),IF('Monthly forecast and cash'!H7="","",'Monthly forecast and cash'!H7),IF('Monthly forecast and cash'!H8="","",'Monthly forecast and cash'!H8)))*'Unit economics by plan'!F5</f>
        <v>0</v>
      </c>
      <c r="I13" s="10">
        <f>IF(IF(EXACT("Free","Team"),IF('Monthly forecast and cash'!I7="","",'Monthly forecast and cash'!I7),IF('Monthly forecast and cash'!I8="","",'Monthly forecast and cash'!I8))="",0,IF(EXACT("Free","Team"),IF('Monthly forecast and cash'!I7="","",'Monthly forecast and cash'!I7),IF('Monthly forecast and cash'!I8="","",'Monthly forecast and cash'!I8)))*'Unit economics by plan'!F5</f>
        <v>0</v>
      </c>
      <c r="J13" s="10">
        <f>IF(IF(EXACT("Free","Team"),IF('Monthly forecast and cash'!J7="","",'Monthly forecast and cash'!J7),IF('Monthly forecast and cash'!J8="","",'Monthly forecast and cash'!J8))="",0,IF(EXACT("Free","Team"),IF('Monthly forecast and cash'!J7="","",'Monthly forecast and cash'!J7),IF('Monthly forecast and cash'!J8="","",'Monthly forecast and cash'!J8)))*'Unit economics by plan'!F5</f>
        <v>0</v>
      </c>
      <c r="K13" s="10">
        <f>IF(IF(EXACT("Free","Team"),IF('Monthly forecast and cash'!K7="","",'Monthly forecast and cash'!K7),IF('Monthly forecast and cash'!K8="","",'Monthly forecast and cash'!K8))="",0,IF(EXACT("Free","Team"),IF('Monthly forecast and cash'!K7="","",'Monthly forecast and cash'!K7),IF('Monthly forecast and cash'!K8="","",'Monthly forecast and cash'!K8)))*'Unit economics by plan'!F5</f>
        <v>0</v>
      </c>
      <c r="L13" s="10">
        <f>IF(IF(EXACT("Free","Team"),IF('Monthly forecast and cash'!L7="","",'Monthly forecast and cash'!L7),IF('Monthly forecast and cash'!L8="","",'Monthly forecast and cash'!L8))="",0,IF(EXACT("Free","Team"),IF('Monthly forecast and cash'!L7="","",'Monthly forecast and cash'!L7),IF('Monthly forecast and cash'!L8="","",'Monthly forecast and cash'!L8)))*'Unit economics by plan'!F5</f>
        <v>0</v>
      </c>
      <c r="M13" s="10">
        <f>IF(IF(EXACT("Free","Team"),IF('Monthly forecast and cash'!M7="","",'Monthly forecast and cash'!M7),IF('Monthly forecast and cash'!M8="","",'Monthly forecast and cash'!M8))="",0,IF(EXACT("Free","Team"),IF('Monthly forecast and cash'!M7="","",'Monthly forecast and cash'!M7),IF('Monthly forecast and cash'!M8="","",'Monthly forecast and cash'!M8)))*'Unit economics by plan'!F5</f>
        <v>0</v>
      </c>
      <c r="N13" s="10">
        <f>IF(IF(EXACT("Free","Team"),IF('Monthly forecast and cash'!N7="","",'Monthly forecast and cash'!N7),IF('Monthly forecast and cash'!N8="","",'Monthly forecast and cash'!N8))="",0,IF(EXACT("Free","Team"),IF('Monthly forecast and cash'!N7="","",'Monthly forecast and cash'!N7),IF('Monthly forecast and cash'!N8="","",'Monthly forecast and cash'!N8)))*'Unit economics by plan'!F5</f>
        <v>0</v>
      </c>
      <c r="O13" s="10">
        <f>IF(IF(EXACT("Free","Team"),IF('Monthly forecast and cash'!O7="","",'Monthly forecast and cash'!O7),IF('Monthly forecast and cash'!O8="","",'Monthly forecast and cash'!O8))="",0,IF(EXACT("Free","Team"),IF('Monthly forecast and cash'!O7="","",'Monthly forecast and cash'!O7),IF('Monthly forecast and cash'!O8="","",'Monthly forecast and cash'!O8)))*'Unit economics by plan'!F5</f>
        <v>0</v>
      </c>
      <c r="P13" s="10">
        <f>IF(IF(EXACT("Free","Team"),IF('Monthly forecast and cash'!P7="","",'Monthly forecast and cash'!P7),IF('Monthly forecast and cash'!P8="","",'Monthly forecast and cash'!P8))="",0,IF(EXACT("Free","Team"),IF('Monthly forecast and cash'!P7="","",'Monthly forecast and cash'!P7),IF('Monthly forecast and cash'!P8="","",'Monthly forecast and cash'!P8)))*'Unit economics by plan'!F5</f>
        <v>0</v>
      </c>
      <c r="Q13" s="10">
        <f>IF(IF(EXACT("Free","Team"),IF('Monthly forecast and cash'!Q7="","",'Monthly forecast and cash'!Q7),IF('Monthly forecast and cash'!Q8="","",'Monthly forecast and cash'!Q8))="",0,IF(EXACT("Free","Team"),IF('Monthly forecast and cash'!Q7="","",'Monthly forecast and cash'!Q7),IF('Monthly forecast and cash'!Q8="","",'Monthly forecast and cash'!Q8)))*'Unit economics by plan'!F5</f>
        <v>0</v>
      </c>
      <c r="R13" s="10">
        <f>IF(IF(EXACT("Free","Team"),IF('Monthly forecast and cash'!R7="","",'Monthly forecast and cash'!R7),IF('Monthly forecast and cash'!R8="","",'Monthly forecast and cash'!R8))="",0,IF(EXACT("Free","Team"),IF('Monthly forecast and cash'!R7="","",'Monthly forecast and cash'!R7),IF('Monthly forecast and cash'!R8="","",'Monthly forecast and cash'!R8)))*'Unit economics by plan'!F5</f>
        <v>0</v>
      </c>
      <c r="S13" s="10">
        <f>IF(IF(EXACT("Free","Team"),IF('Monthly forecast and cash'!S7="","",'Monthly forecast and cash'!S7),IF('Monthly forecast and cash'!S8="","",'Monthly forecast and cash'!S8))="",0,IF(EXACT("Free","Team"),IF('Monthly forecast and cash'!S7="","",'Monthly forecast and cash'!S7),IF('Monthly forecast and cash'!S8="","",'Monthly forecast and cash'!S8)))*'Unit economics by plan'!F5</f>
        <v>0</v>
      </c>
      <c r="T13" s="10">
        <f>IF(IF(EXACT("Free","Team"),IF('Monthly forecast and cash'!T7="","",'Monthly forecast and cash'!T7),IF('Monthly forecast and cash'!T8="","",'Monthly forecast and cash'!T8))="",0,IF(EXACT("Free","Team"),IF('Monthly forecast and cash'!T7="","",'Monthly forecast and cash'!T7),IF('Monthly forecast and cash'!T8="","",'Monthly forecast and cash'!T8)))*'Unit economics by plan'!F5</f>
        <v>0</v>
      </c>
      <c r="U13" s="10">
        <f>IF(IF(EXACT("Free","Team"),IF('Monthly forecast and cash'!U7="","",'Monthly forecast and cash'!U7),IF('Monthly forecast and cash'!U8="","",'Monthly forecast and cash'!U8))="",0,IF(EXACT("Free","Team"),IF('Monthly forecast and cash'!U7="","",'Monthly forecast and cash'!U7),IF('Monthly forecast and cash'!U8="","",'Monthly forecast and cash'!U8)))*'Unit economics by plan'!F5</f>
        <v>0</v>
      </c>
      <c r="V13" s="10">
        <f>IF(IF(EXACT("Free","Team"),IF('Monthly forecast and cash'!V7="","",'Monthly forecast and cash'!V7),IF('Monthly forecast and cash'!V8="","",'Monthly forecast and cash'!V8))="",0,IF(EXACT("Free","Team"),IF('Monthly forecast and cash'!V7="","",'Monthly forecast and cash'!V7),IF('Monthly forecast and cash'!V8="","",'Monthly forecast and cash'!V8)))*'Unit economics by plan'!F5</f>
        <v>0</v>
      </c>
      <c r="W13" s="10">
        <f>IF(IF(EXACT("Free","Team"),IF('Monthly forecast and cash'!W7="","",'Monthly forecast and cash'!W7),IF('Monthly forecast and cash'!W8="","",'Monthly forecast and cash'!W8))="",0,IF(EXACT("Free","Team"),IF('Monthly forecast and cash'!W7="","",'Monthly forecast and cash'!W7),IF('Monthly forecast and cash'!W8="","",'Monthly forecast and cash'!W8)))*'Unit economics by plan'!F5</f>
        <v>0</v>
      </c>
      <c r="X13" s="10">
        <f>IF(IF(EXACT("Free","Team"),IF('Monthly forecast and cash'!X7="","",'Monthly forecast and cash'!X7),IF('Monthly forecast and cash'!X8="","",'Monthly forecast and cash'!X8))="",0,IF(EXACT("Free","Team"),IF('Monthly forecast and cash'!X7="","",'Monthly forecast and cash'!X7),IF('Monthly forecast and cash'!X8="","",'Monthly forecast and cash'!X8)))*'Unit economics by plan'!F5</f>
        <v>0</v>
      </c>
      <c r="Y13" s="10">
        <f>IF(IF(EXACT("Free","Team"),IF('Monthly forecast and cash'!Y7="","",'Monthly forecast and cash'!Y7),IF('Monthly forecast and cash'!Y8="","",'Monthly forecast and cash'!Y8))="",0,IF(EXACT("Free","Team"),IF('Monthly forecast and cash'!Y7="","",'Monthly forecast and cash'!Y7),IF('Monthly forecast and cash'!Y8="","",'Monthly forecast and cash'!Y8)))*'Unit economics by plan'!F5</f>
        <v>0</v>
      </c>
      <c r="Z13" s="10">
        <f>IF(IF(EXACT("Free","Team"),IF('Monthly forecast and cash'!Z7="","",'Monthly forecast and cash'!Z7),IF('Monthly forecast and cash'!Z8="","",'Monthly forecast and cash'!Z8))="",0,IF(EXACT("Free","Team"),IF('Monthly forecast and cash'!Z7="","",'Monthly forecast and cash'!Z7),IF('Monthly forecast and cash'!Z8="","",'Monthly forecast and cash'!Z8)))*'Unit economics by plan'!F5</f>
        <v>0</v>
      </c>
    </row>
    <row r="14" outlineLevel="1">
      <c r="A14" t="inlineStr" s="17">
        <is>
          <t xml:space="preserve">Team</t>
        </is>
      </c>
      <c r="B14" s="10">
        <f>0</f>
        <v>0</v>
      </c>
      <c r="C14" s="10">
        <f>IF(IF(EXACT("Team","Team"),IF('Monthly forecast and cash'!C7="","",'Monthly forecast and cash'!C7),IF('Monthly forecast and cash'!C8="","",'Monthly forecast and cash'!C8))="",0,IF(EXACT("Team","Team"),IF('Monthly forecast and cash'!C7="","",'Monthly forecast and cash'!C7),IF('Monthly forecast and cash'!C8="","",'Monthly forecast and cash'!C8)))*'Unit economics by plan'!F6</f>
        <v>495</v>
      </c>
      <c r="D14" s="10">
        <f>IF(IF(EXACT("Team","Team"),IF('Monthly forecast and cash'!D7="","",'Monthly forecast and cash'!D7),IF('Monthly forecast and cash'!D8="","",'Monthly forecast and cash'!D8))="",0,IF(EXACT("Team","Team"),IF('Monthly forecast and cash'!D7="","",'Monthly forecast and cash'!D7),IF('Monthly forecast and cash'!D8="","",'Monthly forecast and cash'!D8)))*'Unit economics by plan'!F6</f>
        <v>990</v>
      </c>
      <c r="E14" s="10">
        <f>IF(IF(EXACT("Team","Team"),IF('Monthly forecast and cash'!E7="","",'Monthly forecast and cash'!E7),IF('Monthly forecast and cash'!E8="","",'Monthly forecast and cash'!E8))="",0,IF(EXACT("Team","Team"),IF('Monthly forecast and cash'!E7="","",'Monthly forecast and cash'!E7),IF('Monthly forecast and cash'!E8="","",'Monthly forecast and cash'!E8)))*'Unit economics by plan'!F6</f>
        <v>1485</v>
      </c>
      <c r="F14" s="10">
        <f>IF(IF(EXACT("Team","Team"),IF('Monthly forecast and cash'!F7="","",'Monthly forecast and cash'!F7),IF('Monthly forecast and cash'!F8="","",'Monthly forecast and cash'!F8))="",0,IF(EXACT("Team","Team"),IF('Monthly forecast and cash'!F7="","",'Monthly forecast and cash'!F7),IF('Monthly forecast and cash'!F8="","",'Monthly forecast and cash'!F8)))*'Unit economics by plan'!F6</f>
        <v>1980</v>
      </c>
      <c r="G14" s="10">
        <f>IF(IF(EXACT("Team","Team"),IF('Monthly forecast and cash'!G7="","",'Monthly forecast and cash'!G7),IF('Monthly forecast and cash'!G8="","",'Monthly forecast and cash'!G8))="",0,IF(EXACT("Team","Team"),IF('Monthly forecast and cash'!G7="","",'Monthly forecast and cash'!G7),IF('Monthly forecast and cash'!G8="","",'Monthly forecast and cash'!G8)))*'Unit economics by plan'!F6</f>
        <v>2475</v>
      </c>
      <c r="H14" s="10">
        <f>IF(IF(EXACT("Team","Team"),IF('Monthly forecast and cash'!H7="","",'Monthly forecast and cash'!H7),IF('Monthly forecast and cash'!H8="","",'Monthly forecast and cash'!H8))="",0,IF(EXACT("Team","Team"),IF('Monthly forecast and cash'!H7="","",'Monthly forecast and cash'!H7),IF('Monthly forecast and cash'!H8="","",'Monthly forecast and cash'!H8)))*'Unit economics by plan'!F6</f>
        <v>2970</v>
      </c>
      <c r="I14" s="10">
        <f>IF(IF(EXACT("Team","Team"),IF('Monthly forecast and cash'!I7="","",'Monthly forecast and cash'!I7),IF('Monthly forecast and cash'!I8="","",'Monthly forecast and cash'!I8))="",0,IF(EXACT("Team","Team"),IF('Monthly forecast and cash'!I7="","",'Monthly forecast and cash'!I7),IF('Monthly forecast and cash'!I8="","",'Monthly forecast and cash'!I8)))*'Unit economics by plan'!F6</f>
        <v>3465</v>
      </c>
      <c r="J14" s="10">
        <f>IF(IF(EXACT("Team","Team"),IF('Monthly forecast and cash'!J7="","",'Monthly forecast and cash'!J7),IF('Monthly forecast and cash'!J8="","",'Monthly forecast and cash'!J8))="",0,IF(EXACT("Team","Team"),IF('Monthly forecast and cash'!J7="","",'Monthly forecast and cash'!J7),IF('Monthly forecast and cash'!J8="","",'Monthly forecast and cash'!J8)))*'Unit economics by plan'!F6</f>
        <v>3960</v>
      </c>
      <c r="K14" s="10">
        <f>IF(IF(EXACT("Team","Team"),IF('Monthly forecast and cash'!K7="","",'Monthly forecast and cash'!K7),IF('Monthly forecast and cash'!K8="","",'Monthly forecast and cash'!K8))="",0,IF(EXACT("Team","Team"),IF('Monthly forecast and cash'!K7="","",'Monthly forecast and cash'!K7),IF('Monthly forecast and cash'!K8="","",'Monthly forecast and cash'!K8)))*'Unit economics by plan'!F6</f>
        <v>4455</v>
      </c>
      <c r="L14" s="10">
        <f>IF(IF(EXACT("Team","Team"),IF('Monthly forecast and cash'!L7="","",'Monthly forecast and cash'!L7),IF('Monthly forecast and cash'!L8="","",'Monthly forecast and cash'!L8))="",0,IF(EXACT("Team","Team"),IF('Monthly forecast and cash'!L7="","",'Monthly forecast and cash'!L7),IF('Monthly forecast and cash'!L8="","",'Monthly forecast and cash'!L8)))*'Unit economics by plan'!F6</f>
        <v>4950</v>
      </c>
      <c r="M14" s="10">
        <f>IF(IF(EXACT("Team","Team"),IF('Monthly forecast and cash'!M7="","",'Monthly forecast and cash'!M7),IF('Monthly forecast and cash'!M8="","",'Monthly forecast and cash'!M8))="",0,IF(EXACT("Team","Team"),IF('Monthly forecast and cash'!M7="","",'Monthly forecast and cash'!M7),IF('Monthly forecast and cash'!M8="","",'Monthly forecast and cash'!M8)))*'Unit economics by plan'!F6</f>
        <v>5445</v>
      </c>
      <c r="N14" s="10">
        <f>IF(IF(EXACT("Team","Team"),IF('Monthly forecast and cash'!N7="","",'Monthly forecast and cash'!N7),IF('Monthly forecast and cash'!N8="","",'Monthly forecast and cash'!N8))="",0,IF(EXACT("Team","Team"),IF('Monthly forecast and cash'!N7="","",'Monthly forecast and cash'!N7),IF('Monthly forecast and cash'!N8="","",'Monthly forecast and cash'!N8)))*'Unit economics by plan'!F6</f>
        <v>5940</v>
      </c>
      <c r="O14" s="10">
        <f>IF(IF(EXACT("Team","Team"),IF('Monthly forecast and cash'!O7="","",'Monthly forecast and cash'!O7),IF('Monthly forecast and cash'!O8="","",'Monthly forecast and cash'!O8))="",0,IF(EXACT("Team","Team"),IF('Monthly forecast and cash'!O7="","",'Monthly forecast and cash'!O7),IF('Monthly forecast and cash'!O8="","",'Monthly forecast and cash'!O8)))*'Unit economics by plan'!F6</f>
        <v>6435</v>
      </c>
      <c r="P14" s="10">
        <f>IF(IF(EXACT("Team","Team"),IF('Monthly forecast and cash'!P7="","",'Monthly forecast and cash'!P7),IF('Monthly forecast and cash'!P8="","",'Monthly forecast and cash'!P8))="",0,IF(EXACT("Team","Team"),IF('Monthly forecast and cash'!P7="","",'Monthly forecast and cash'!P7),IF('Monthly forecast and cash'!P8="","",'Monthly forecast and cash'!P8)))*'Unit economics by plan'!F6</f>
        <v>6930</v>
      </c>
      <c r="Q14" s="10">
        <f>IF(IF(EXACT("Team","Team"),IF('Monthly forecast and cash'!Q7="","",'Monthly forecast and cash'!Q7),IF('Monthly forecast and cash'!Q8="","",'Monthly forecast and cash'!Q8))="",0,IF(EXACT("Team","Team"),IF('Monthly forecast and cash'!Q7="","",'Monthly forecast and cash'!Q7),IF('Monthly forecast and cash'!Q8="","",'Monthly forecast and cash'!Q8)))*'Unit economics by plan'!F6</f>
        <v>7425</v>
      </c>
      <c r="R14" s="10">
        <f>IF(IF(EXACT("Team","Team"),IF('Monthly forecast and cash'!R7="","",'Monthly forecast and cash'!R7),IF('Monthly forecast and cash'!R8="","",'Monthly forecast and cash'!R8))="",0,IF(EXACT("Team","Team"),IF('Monthly forecast and cash'!R7="","",'Monthly forecast and cash'!R7),IF('Monthly forecast and cash'!R8="","",'Monthly forecast and cash'!R8)))*'Unit economics by plan'!F6</f>
        <v>7920</v>
      </c>
      <c r="S14" s="10">
        <f>IF(IF(EXACT("Team","Team"),IF('Monthly forecast and cash'!S7="","",'Monthly forecast and cash'!S7),IF('Monthly forecast and cash'!S8="","",'Monthly forecast and cash'!S8))="",0,IF(EXACT("Team","Team"),IF('Monthly forecast and cash'!S7="","",'Monthly forecast and cash'!S7),IF('Monthly forecast and cash'!S8="","",'Monthly forecast and cash'!S8)))*'Unit economics by plan'!F6</f>
        <v>8415</v>
      </c>
      <c r="T14" s="10">
        <f>IF(IF(EXACT("Team","Team"),IF('Monthly forecast and cash'!T7="","",'Monthly forecast and cash'!T7),IF('Monthly forecast and cash'!T8="","",'Monthly forecast and cash'!T8))="",0,IF(EXACT("Team","Team"),IF('Monthly forecast and cash'!T7="","",'Monthly forecast and cash'!T7),IF('Monthly forecast and cash'!T8="","",'Monthly forecast and cash'!T8)))*'Unit economics by plan'!F6</f>
        <v>8910</v>
      </c>
      <c r="U14" s="10">
        <f>IF(IF(EXACT("Team","Team"),IF('Monthly forecast and cash'!U7="","",'Monthly forecast and cash'!U7),IF('Monthly forecast and cash'!U8="","",'Monthly forecast and cash'!U8))="",0,IF(EXACT("Team","Team"),IF('Monthly forecast and cash'!U7="","",'Monthly forecast and cash'!U7),IF('Monthly forecast and cash'!U8="","",'Monthly forecast and cash'!U8)))*'Unit economics by plan'!F6</f>
        <v>9405</v>
      </c>
      <c r="V14" s="10">
        <f>IF(IF(EXACT("Team","Team"),IF('Monthly forecast and cash'!V7="","",'Monthly forecast and cash'!V7),IF('Monthly forecast and cash'!V8="","",'Monthly forecast and cash'!V8))="",0,IF(EXACT("Team","Team"),IF('Monthly forecast and cash'!V7="","",'Monthly forecast and cash'!V7),IF('Monthly forecast and cash'!V8="","",'Monthly forecast and cash'!V8)))*'Unit economics by plan'!F6</f>
        <v>9900</v>
      </c>
      <c r="W14" s="10">
        <f>IF(IF(EXACT("Team","Team"),IF('Monthly forecast and cash'!W7="","",'Monthly forecast and cash'!W7),IF('Monthly forecast and cash'!W8="","",'Monthly forecast and cash'!W8))="",0,IF(EXACT("Team","Team"),IF('Monthly forecast and cash'!W7="","",'Monthly forecast and cash'!W7),IF('Monthly forecast and cash'!W8="","",'Monthly forecast and cash'!W8)))*'Unit economics by plan'!F6</f>
        <v>10395</v>
      </c>
      <c r="X14" s="10">
        <f>IF(IF(EXACT("Team","Team"),IF('Monthly forecast and cash'!X7="","",'Monthly forecast and cash'!X7),IF('Monthly forecast and cash'!X8="","",'Monthly forecast and cash'!X8))="",0,IF(EXACT("Team","Team"),IF('Monthly forecast and cash'!X7="","",'Monthly forecast and cash'!X7),IF('Monthly forecast and cash'!X8="","",'Monthly forecast and cash'!X8)))*'Unit economics by plan'!F6</f>
        <v>10890</v>
      </c>
      <c r="Y14" s="10">
        <f>IF(IF(EXACT("Team","Team"),IF('Monthly forecast and cash'!Y7="","",'Monthly forecast and cash'!Y7),IF('Monthly forecast and cash'!Y8="","",'Monthly forecast and cash'!Y8))="",0,IF(EXACT("Team","Team"),IF('Monthly forecast and cash'!Y7="","",'Monthly forecast and cash'!Y7),IF('Monthly forecast and cash'!Y8="","",'Monthly forecast and cash'!Y8)))*'Unit economics by plan'!F6</f>
        <v>11385</v>
      </c>
      <c r="Z14" s="10">
        <f>IF(IF(EXACT("Team","Team"),IF('Monthly forecast and cash'!Z7="","",'Monthly forecast and cash'!Z7),IF('Monthly forecast and cash'!Z8="","",'Monthly forecast and cash'!Z8))="",0,IF(EXACT("Team","Team"),IF('Monthly forecast and cash'!Z7="","",'Monthly forecast and cash'!Z7),IF('Monthly forecast and cash'!Z8="","",'Monthly forecast and cash'!Z8)))*'Unit economics by plan'!F6</f>
        <v>11880</v>
      </c>
    </row>
    <row r="15">
      <c r="A15" t="inlineStr" s="5">
        <is>
          <t xml:space="preserve">Model spend</t>
        </is>
      </c>
      <c r="B15" s="13">
        <f>SUM('Monthly forecast and cash'!B16,'Monthly forecast and cash'!B17)</f>
        <v>0</v>
      </c>
      <c r="C15" s="13">
        <f>SUM('Monthly forecast and cash'!C16,'Monthly forecast and cash'!C17)</f>
        <v>200</v>
      </c>
      <c r="D15" s="13">
        <f>SUM('Monthly forecast and cash'!D16,'Monthly forecast and cash'!D17)</f>
        <v>275</v>
      </c>
      <c r="E15" s="13">
        <f>SUM('Monthly forecast and cash'!E16,'Monthly forecast and cash'!E17)</f>
        <v>350</v>
      </c>
      <c r="F15" s="13">
        <f>SUM('Monthly forecast and cash'!F16,'Monthly forecast and cash'!F17)</f>
        <v>425</v>
      </c>
      <c r="G15" s="13">
        <f>SUM('Monthly forecast and cash'!G16,'Monthly forecast and cash'!G17)</f>
        <v>500</v>
      </c>
      <c r="H15" s="13">
        <f>SUM('Monthly forecast and cash'!H16,'Monthly forecast and cash'!H17)</f>
        <v>575</v>
      </c>
      <c r="I15" s="13">
        <f>SUM('Monthly forecast and cash'!I16,'Monthly forecast and cash'!I17)</f>
        <v>650</v>
      </c>
      <c r="J15" s="13">
        <f>SUM('Monthly forecast and cash'!J16,'Monthly forecast and cash'!J17)</f>
        <v>725</v>
      </c>
      <c r="K15" s="13">
        <f>SUM('Monthly forecast and cash'!K16,'Monthly forecast and cash'!K17)</f>
        <v>800</v>
      </c>
      <c r="L15" s="13">
        <f>SUM('Monthly forecast and cash'!L16,'Monthly forecast and cash'!L17)</f>
        <v>875</v>
      </c>
      <c r="M15" s="13">
        <f>SUM('Monthly forecast and cash'!M16,'Monthly forecast and cash'!M17)</f>
        <v>950</v>
      </c>
      <c r="N15" s="13">
        <f>SUM('Monthly forecast and cash'!N16,'Monthly forecast and cash'!N17)</f>
        <v>1025</v>
      </c>
      <c r="O15" s="13">
        <f>SUM('Monthly forecast and cash'!O16,'Monthly forecast and cash'!O17)</f>
        <v>1100</v>
      </c>
      <c r="P15" s="13">
        <f>SUM('Monthly forecast and cash'!P16,'Monthly forecast and cash'!P17)</f>
        <v>1175</v>
      </c>
      <c r="Q15" s="13">
        <f>SUM('Monthly forecast and cash'!Q16,'Monthly forecast and cash'!Q17)</f>
        <v>1250</v>
      </c>
      <c r="R15" s="13">
        <f>SUM('Monthly forecast and cash'!R16,'Monthly forecast and cash'!R17)</f>
        <v>1325</v>
      </c>
      <c r="S15" s="13">
        <f>SUM('Monthly forecast and cash'!S16,'Monthly forecast and cash'!S17)</f>
        <v>1400</v>
      </c>
      <c r="T15" s="13">
        <f>SUM('Monthly forecast and cash'!T16,'Monthly forecast and cash'!T17)</f>
        <v>1475</v>
      </c>
      <c r="U15" s="13">
        <f>SUM('Monthly forecast and cash'!U16,'Monthly forecast and cash'!U17)</f>
        <v>1550</v>
      </c>
      <c r="V15" s="13">
        <f>SUM('Monthly forecast and cash'!V16,'Monthly forecast and cash'!V17)</f>
        <v>1625</v>
      </c>
      <c r="W15" s="13">
        <f>SUM('Monthly forecast and cash'!W16,'Monthly forecast and cash'!W17)</f>
        <v>1700</v>
      </c>
      <c r="X15" s="13">
        <f>SUM('Monthly forecast and cash'!X16,'Monthly forecast and cash'!X17)</f>
        <v>1775</v>
      </c>
      <c r="Y15" s="13">
        <f>SUM('Monthly forecast and cash'!Y16,'Monthly forecast and cash'!Y17)</f>
        <v>1850</v>
      </c>
      <c r="Z15" s="13">
        <f>SUM('Monthly forecast and cash'!Z16,'Monthly forecast and cash'!Z17)</f>
        <v>1925</v>
      </c>
    </row>
    <row r="16" outlineLevel="1">
      <c r="A16" t="inlineStr" s="17">
        <is>
          <t xml:space="preserve">Free</t>
        </is>
      </c>
      <c r="B16" s="10">
        <f>0</f>
        <v>0</v>
      </c>
      <c r="C16" s="10">
        <f>'Monthly forecast and cash'!C10*'Editable assumptions'!B5</f>
        <v>125</v>
      </c>
      <c r="D16" s="10">
        <f>'Monthly forecast and cash'!D10*'Editable assumptions'!B5</f>
        <v>125</v>
      </c>
      <c r="E16" s="10">
        <f>'Monthly forecast and cash'!E10*'Editable assumptions'!B5</f>
        <v>125</v>
      </c>
      <c r="F16" s="10">
        <f>'Monthly forecast and cash'!F10*'Editable assumptions'!B5</f>
        <v>125</v>
      </c>
      <c r="G16" s="10">
        <f>'Monthly forecast and cash'!G10*'Editable assumptions'!B5</f>
        <v>125</v>
      </c>
      <c r="H16" s="10">
        <f>'Monthly forecast and cash'!H10*'Editable assumptions'!B5</f>
        <v>125</v>
      </c>
      <c r="I16" s="10">
        <f>'Monthly forecast and cash'!I10*'Editable assumptions'!B5</f>
        <v>125</v>
      </c>
      <c r="J16" s="10">
        <f>'Monthly forecast and cash'!J10*'Editable assumptions'!B5</f>
        <v>125</v>
      </c>
      <c r="K16" s="10">
        <f>'Monthly forecast and cash'!K10*'Editable assumptions'!B5</f>
        <v>125</v>
      </c>
      <c r="L16" s="10">
        <f>'Monthly forecast and cash'!L10*'Editable assumptions'!B5</f>
        <v>125</v>
      </c>
      <c r="M16" s="10">
        <f>'Monthly forecast and cash'!M10*'Editable assumptions'!B5</f>
        <v>125</v>
      </c>
      <c r="N16" s="10">
        <f>'Monthly forecast and cash'!N10*'Editable assumptions'!B5</f>
        <v>125</v>
      </c>
      <c r="O16" s="10">
        <f>'Monthly forecast and cash'!O10*'Editable assumptions'!B5</f>
        <v>125</v>
      </c>
      <c r="P16" s="10">
        <f>'Monthly forecast and cash'!P10*'Editable assumptions'!B5</f>
        <v>125</v>
      </c>
      <c r="Q16" s="10">
        <f>'Monthly forecast and cash'!Q10*'Editable assumptions'!B5</f>
        <v>125</v>
      </c>
      <c r="R16" s="10">
        <f>'Monthly forecast and cash'!R10*'Editable assumptions'!B5</f>
        <v>125</v>
      </c>
      <c r="S16" s="10">
        <f>'Monthly forecast and cash'!S10*'Editable assumptions'!B5</f>
        <v>125</v>
      </c>
      <c r="T16" s="10">
        <f>'Monthly forecast and cash'!T10*'Editable assumptions'!B5</f>
        <v>125</v>
      </c>
      <c r="U16" s="10">
        <f>'Monthly forecast and cash'!U10*'Editable assumptions'!B5</f>
        <v>125</v>
      </c>
      <c r="V16" s="10">
        <f>'Monthly forecast and cash'!V10*'Editable assumptions'!B5</f>
        <v>125</v>
      </c>
      <c r="W16" s="10">
        <f>'Monthly forecast and cash'!W10*'Editable assumptions'!B5</f>
        <v>125</v>
      </c>
      <c r="X16" s="10">
        <f>'Monthly forecast and cash'!X10*'Editable assumptions'!B5</f>
        <v>125</v>
      </c>
      <c r="Y16" s="10">
        <f>'Monthly forecast and cash'!Y10*'Editable assumptions'!B5</f>
        <v>125</v>
      </c>
      <c r="Z16" s="10">
        <f>'Monthly forecast and cash'!Z10*'Editable assumptions'!B5</f>
        <v>125</v>
      </c>
    </row>
    <row r="17" outlineLevel="1">
      <c r="A17" t="inlineStr" s="17">
        <is>
          <t xml:space="preserve">Team</t>
        </is>
      </c>
      <c r="B17" s="10">
        <f>0</f>
        <v>0</v>
      </c>
      <c r="C17" s="10">
        <f>'Monthly forecast and cash'!C11*'Editable assumptions'!B5</f>
        <v>75</v>
      </c>
      <c r="D17" s="10">
        <f>'Monthly forecast and cash'!D11*'Editable assumptions'!B5</f>
        <v>150</v>
      </c>
      <c r="E17" s="10">
        <f>'Monthly forecast and cash'!E11*'Editable assumptions'!B5</f>
        <v>225</v>
      </c>
      <c r="F17" s="10">
        <f>'Monthly forecast and cash'!F11*'Editable assumptions'!B5</f>
        <v>300</v>
      </c>
      <c r="G17" s="10">
        <f>'Monthly forecast and cash'!G11*'Editable assumptions'!B5</f>
        <v>375</v>
      </c>
      <c r="H17" s="10">
        <f>'Monthly forecast and cash'!H11*'Editable assumptions'!B5</f>
        <v>450</v>
      </c>
      <c r="I17" s="10">
        <f>'Monthly forecast and cash'!I11*'Editable assumptions'!B5</f>
        <v>525</v>
      </c>
      <c r="J17" s="10">
        <f>'Monthly forecast and cash'!J11*'Editable assumptions'!B5</f>
        <v>600</v>
      </c>
      <c r="K17" s="10">
        <f>'Monthly forecast and cash'!K11*'Editable assumptions'!B5</f>
        <v>675</v>
      </c>
      <c r="L17" s="10">
        <f>'Monthly forecast and cash'!L11*'Editable assumptions'!B5</f>
        <v>750</v>
      </c>
      <c r="M17" s="10">
        <f>'Monthly forecast and cash'!M11*'Editable assumptions'!B5</f>
        <v>825</v>
      </c>
      <c r="N17" s="10">
        <f>'Monthly forecast and cash'!N11*'Editable assumptions'!B5</f>
        <v>900</v>
      </c>
      <c r="O17" s="10">
        <f>'Monthly forecast and cash'!O11*'Editable assumptions'!B5</f>
        <v>975</v>
      </c>
      <c r="P17" s="10">
        <f>'Monthly forecast and cash'!P11*'Editable assumptions'!B5</f>
        <v>1050</v>
      </c>
      <c r="Q17" s="10">
        <f>'Monthly forecast and cash'!Q11*'Editable assumptions'!B5</f>
        <v>1125</v>
      </c>
      <c r="R17" s="10">
        <f>'Monthly forecast and cash'!R11*'Editable assumptions'!B5</f>
        <v>1200</v>
      </c>
      <c r="S17" s="10">
        <f>'Monthly forecast and cash'!S11*'Editable assumptions'!B5</f>
        <v>1275</v>
      </c>
      <c r="T17" s="10">
        <f>'Monthly forecast and cash'!T11*'Editable assumptions'!B5</f>
        <v>1350</v>
      </c>
      <c r="U17" s="10">
        <f>'Monthly forecast and cash'!U11*'Editable assumptions'!B5</f>
        <v>1425</v>
      </c>
      <c r="V17" s="10">
        <f>'Monthly forecast and cash'!V11*'Editable assumptions'!B5</f>
        <v>1500</v>
      </c>
      <c r="W17" s="10">
        <f>'Monthly forecast and cash'!W11*'Editable assumptions'!B5</f>
        <v>1575</v>
      </c>
      <c r="X17" s="10">
        <f>'Monthly forecast and cash'!X11*'Editable assumptions'!B5</f>
        <v>1650</v>
      </c>
      <c r="Y17" s="10">
        <f>'Monthly forecast and cash'!Y11*'Editable assumptions'!B5</f>
        <v>1725</v>
      </c>
      <c r="Z17" s="10">
        <f>'Monthly forecast and cash'!Z11*'Editable assumptions'!B5</f>
        <v>1800</v>
      </c>
    </row>
    <row r="18">
      <c r="A18" t="inlineStr" s="5">
        <is>
          <t xml:space="preserve">Compute spend</t>
        </is>
      </c>
      <c r="B18" s="13">
        <f>SUM('Monthly forecast and cash'!B19,'Monthly forecast and cash'!B20)</f>
        <v>0</v>
      </c>
      <c r="C18" s="13">
        <f>SUM('Monthly forecast and cash'!C19,'Monthly forecast and cash'!C20)</f>
        <v>40</v>
      </c>
      <c r="D18" s="13">
        <f>SUM('Monthly forecast and cash'!D19,'Monthly forecast and cash'!D20)</f>
        <v>55</v>
      </c>
      <c r="E18" s="13">
        <f>SUM('Monthly forecast and cash'!E19,'Monthly forecast and cash'!E20)</f>
        <v>70</v>
      </c>
      <c r="F18" s="13">
        <f>SUM('Monthly forecast and cash'!F19,'Monthly forecast and cash'!F20)</f>
        <v>85</v>
      </c>
      <c r="G18" s="13">
        <f>SUM('Monthly forecast and cash'!G19,'Monthly forecast and cash'!G20)</f>
        <v>100</v>
      </c>
      <c r="H18" s="13">
        <f>SUM('Monthly forecast and cash'!H19,'Monthly forecast and cash'!H20)</f>
        <v>115</v>
      </c>
      <c r="I18" s="13">
        <f>SUM('Monthly forecast and cash'!I19,'Monthly forecast and cash'!I20)</f>
        <v>130</v>
      </c>
      <c r="J18" s="13">
        <f>SUM('Monthly forecast and cash'!J19,'Monthly forecast and cash'!J20)</f>
        <v>145</v>
      </c>
      <c r="K18" s="13">
        <f>SUM('Monthly forecast and cash'!K19,'Monthly forecast and cash'!K20)</f>
        <v>160</v>
      </c>
      <c r="L18" s="13">
        <f>SUM('Monthly forecast and cash'!L19,'Monthly forecast and cash'!L20)</f>
        <v>175</v>
      </c>
      <c r="M18" s="13">
        <f>SUM('Monthly forecast and cash'!M19,'Monthly forecast and cash'!M20)</f>
        <v>190</v>
      </c>
      <c r="N18" s="13">
        <f>SUM('Monthly forecast and cash'!N19,'Monthly forecast and cash'!N20)</f>
        <v>205</v>
      </c>
      <c r="O18" s="13">
        <f>SUM('Monthly forecast and cash'!O19,'Monthly forecast and cash'!O20)</f>
        <v>220</v>
      </c>
      <c r="P18" s="13">
        <f>SUM('Monthly forecast and cash'!P19,'Monthly forecast and cash'!P20)</f>
        <v>235</v>
      </c>
      <c r="Q18" s="13">
        <f>SUM('Monthly forecast and cash'!Q19,'Monthly forecast and cash'!Q20)</f>
        <v>250</v>
      </c>
      <c r="R18" s="13">
        <f>SUM('Monthly forecast and cash'!R19,'Monthly forecast and cash'!R20)</f>
        <v>265</v>
      </c>
      <c r="S18" s="13">
        <f>SUM('Monthly forecast and cash'!S19,'Monthly forecast and cash'!S20)</f>
        <v>280</v>
      </c>
      <c r="T18" s="13">
        <f>SUM('Monthly forecast and cash'!T19,'Monthly forecast and cash'!T20)</f>
        <v>295</v>
      </c>
      <c r="U18" s="13">
        <f>SUM('Monthly forecast and cash'!U19,'Monthly forecast and cash'!U20)</f>
        <v>310</v>
      </c>
      <c r="V18" s="13">
        <f>SUM('Monthly forecast and cash'!V19,'Monthly forecast and cash'!V20)</f>
        <v>325</v>
      </c>
      <c r="W18" s="13">
        <f>SUM('Monthly forecast and cash'!W19,'Monthly forecast and cash'!W20)</f>
        <v>340</v>
      </c>
      <c r="X18" s="13">
        <f>SUM('Monthly forecast and cash'!X19,'Monthly forecast and cash'!X20)</f>
        <v>355</v>
      </c>
      <c r="Y18" s="13">
        <f>SUM('Monthly forecast and cash'!Y19,'Monthly forecast and cash'!Y20)</f>
        <v>370</v>
      </c>
      <c r="Z18" s="13">
        <f>SUM('Monthly forecast and cash'!Z19,'Monthly forecast and cash'!Z20)</f>
        <v>385</v>
      </c>
    </row>
    <row r="19" outlineLevel="1">
      <c r="A19" t="inlineStr" s="17">
        <is>
          <t xml:space="preserve">Free</t>
        </is>
      </c>
      <c r="B19" s="10">
        <f>0</f>
        <v>0</v>
      </c>
      <c r="C19" s="10">
        <f>'Monthly forecast and cash'!C10*'Editable assumptions'!B6</f>
        <v>25</v>
      </c>
      <c r="D19" s="10">
        <f>'Monthly forecast and cash'!D10*'Editable assumptions'!B6</f>
        <v>25</v>
      </c>
      <c r="E19" s="10">
        <f>'Monthly forecast and cash'!E10*'Editable assumptions'!B6</f>
        <v>25</v>
      </c>
      <c r="F19" s="10">
        <f>'Monthly forecast and cash'!F10*'Editable assumptions'!B6</f>
        <v>25</v>
      </c>
      <c r="G19" s="10">
        <f>'Monthly forecast and cash'!G10*'Editable assumptions'!B6</f>
        <v>25</v>
      </c>
      <c r="H19" s="10">
        <f>'Monthly forecast and cash'!H10*'Editable assumptions'!B6</f>
        <v>25</v>
      </c>
      <c r="I19" s="10">
        <f>'Monthly forecast and cash'!I10*'Editable assumptions'!B6</f>
        <v>25</v>
      </c>
      <c r="J19" s="10">
        <f>'Monthly forecast and cash'!J10*'Editable assumptions'!B6</f>
        <v>25</v>
      </c>
      <c r="K19" s="10">
        <f>'Monthly forecast and cash'!K10*'Editable assumptions'!B6</f>
        <v>25</v>
      </c>
      <c r="L19" s="10">
        <f>'Monthly forecast and cash'!L10*'Editable assumptions'!B6</f>
        <v>25</v>
      </c>
      <c r="M19" s="10">
        <f>'Monthly forecast and cash'!M10*'Editable assumptions'!B6</f>
        <v>25</v>
      </c>
      <c r="N19" s="10">
        <f>'Monthly forecast and cash'!N10*'Editable assumptions'!B6</f>
        <v>25</v>
      </c>
      <c r="O19" s="10">
        <f>'Monthly forecast and cash'!O10*'Editable assumptions'!B6</f>
        <v>25</v>
      </c>
      <c r="P19" s="10">
        <f>'Monthly forecast and cash'!P10*'Editable assumptions'!B6</f>
        <v>25</v>
      </c>
      <c r="Q19" s="10">
        <f>'Monthly forecast and cash'!Q10*'Editable assumptions'!B6</f>
        <v>25</v>
      </c>
      <c r="R19" s="10">
        <f>'Monthly forecast and cash'!R10*'Editable assumptions'!B6</f>
        <v>25</v>
      </c>
      <c r="S19" s="10">
        <f>'Monthly forecast and cash'!S10*'Editable assumptions'!B6</f>
        <v>25</v>
      </c>
      <c r="T19" s="10">
        <f>'Monthly forecast and cash'!T10*'Editable assumptions'!B6</f>
        <v>25</v>
      </c>
      <c r="U19" s="10">
        <f>'Monthly forecast and cash'!U10*'Editable assumptions'!B6</f>
        <v>25</v>
      </c>
      <c r="V19" s="10">
        <f>'Monthly forecast and cash'!V10*'Editable assumptions'!B6</f>
        <v>25</v>
      </c>
      <c r="W19" s="10">
        <f>'Monthly forecast and cash'!W10*'Editable assumptions'!B6</f>
        <v>25</v>
      </c>
      <c r="X19" s="10">
        <f>'Monthly forecast and cash'!X10*'Editable assumptions'!B6</f>
        <v>25</v>
      </c>
      <c r="Y19" s="10">
        <f>'Monthly forecast and cash'!Y10*'Editable assumptions'!B6</f>
        <v>25</v>
      </c>
      <c r="Z19" s="10">
        <f>'Monthly forecast and cash'!Z10*'Editable assumptions'!B6</f>
        <v>25</v>
      </c>
    </row>
    <row r="20" outlineLevel="1">
      <c r="A20" t="inlineStr" s="17">
        <is>
          <t xml:space="preserve">Team</t>
        </is>
      </c>
      <c r="B20" s="10">
        <f>0</f>
        <v>0</v>
      </c>
      <c r="C20" s="10">
        <f>'Monthly forecast and cash'!C11*'Editable assumptions'!B6</f>
        <v>15</v>
      </c>
      <c r="D20" s="10">
        <f>'Monthly forecast and cash'!D11*'Editable assumptions'!B6</f>
        <v>30</v>
      </c>
      <c r="E20" s="10">
        <f>'Monthly forecast and cash'!E11*'Editable assumptions'!B6</f>
        <v>45</v>
      </c>
      <c r="F20" s="10">
        <f>'Monthly forecast and cash'!F11*'Editable assumptions'!B6</f>
        <v>60</v>
      </c>
      <c r="G20" s="10">
        <f>'Monthly forecast and cash'!G11*'Editable assumptions'!B6</f>
        <v>75</v>
      </c>
      <c r="H20" s="10">
        <f>'Monthly forecast and cash'!H11*'Editable assumptions'!B6</f>
        <v>90</v>
      </c>
      <c r="I20" s="10">
        <f>'Monthly forecast and cash'!I11*'Editable assumptions'!B6</f>
        <v>105</v>
      </c>
      <c r="J20" s="10">
        <f>'Monthly forecast and cash'!J11*'Editable assumptions'!B6</f>
        <v>120</v>
      </c>
      <c r="K20" s="10">
        <f>'Monthly forecast and cash'!K11*'Editable assumptions'!B6</f>
        <v>135</v>
      </c>
      <c r="L20" s="10">
        <f>'Monthly forecast and cash'!L11*'Editable assumptions'!B6</f>
        <v>150</v>
      </c>
      <c r="M20" s="10">
        <f>'Monthly forecast and cash'!M11*'Editable assumptions'!B6</f>
        <v>165</v>
      </c>
      <c r="N20" s="10">
        <f>'Monthly forecast and cash'!N11*'Editable assumptions'!B6</f>
        <v>180</v>
      </c>
      <c r="O20" s="10">
        <f>'Monthly forecast and cash'!O11*'Editable assumptions'!B6</f>
        <v>195</v>
      </c>
      <c r="P20" s="10">
        <f>'Monthly forecast and cash'!P11*'Editable assumptions'!B6</f>
        <v>210</v>
      </c>
      <c r="Q20" s="10">
        <f>'Monthly forecast and cash'!Q11*'Editable assumptions'!B6</f>
        <v>225</v>
      </c>
      <c r="R20" s="10">
        <f>'Monthly forecast and cash'!R11*'Editable assumptions'!B6</f>
        <v>240</v>
      </c>
      <c r="S20" s="10">
        <f>'Monthly forecast and cash'!S11*'Editable assumptions'!B6</f>
        <v>255</v>
      </c>
      <c r="T20" s="10">
        <f>'Monthly forecast and cash'!T11*'Editable assumptions'!B6</f>
        <v>270</v>
      </c>
      <c r="U20" s="10">
        <f>'Monthly forecast and cash'!U11*'Editable assumptions'!B6</f>
        <v>285</v>
      </c>
      <c r="V20" s="10">
        <f>'Monthly forecast and cash'!V11*'Editable assumptions'!B6</f>
        <v>300</v>
      </c>
      <c r="W20" s="10">
        <f>'Monthly forecast and cash'!W11*'Editable assumptions'!B6</f>
        <v>315</v>
      </c>
      <c r="X20" s="10">
        <f>'Monthly forecast and cash'!X11*'Editable assumptions'!B6</f>
        <v>330</v>
      </c>
      <c r="Y20" s="10">
        <f>'Monthly forecast and cash'!Y11*'Editable assumptions'!B6</f>
        <v>345</v>
      </c>
      <c r="Z20" s="10">
        <f>'Monthly forecast and cash'!Z11*'Editable assumptions'!B6</f>
        <v>360</v>
      </c>
    </row>
    <row r="21">
      <c r="A21" t="inlineStr" s="7">
        <is>
          <t xml:space="preserve">Hosting expense</t>
        </is>
      </c>
      <c r="B21" s="10">
        <v>0</v>
      </c>
      <c r="C21" s="10">
        <f>IF('Editable assumptions'!B8="","",'Editable assumptions'!B8)</f>
        <v>300</v>
      </c>
      <c r="D21" s="10">
        <f>IF('Editable assumptions'!B8="","",'Editable assumptions'!B8)</f>
        <v>300</v>
      </c>
      <c r="E21" s="10">
        <f>IF('Editable assumptions'!B8="","",'Editable assumptions'!B8)</f>
        <v>300</v>
      </c>
      <c r="F21" s="10">
        <f>IF('Editable assumptions'!B8="","",'Editable assumptions'!B8)</f>
        <v>300</v>
      </c>
      <c r="G21" s="10">
        <f>IF('Editable assumptions'!B8="","",'Editable assumptions'!B8)</f>
        <v>300</v>
      </c>
      <c r="H21" s="10">
        <f>IF('Editable assumptions'!B8="","",'Editable assumptions'!B8)</f>
        <v>300</v>
      </c>
      <c r="I21" s="10">
        <f>IF('Editable assumptions'!B8="","",'Editable assumptions'!B8)</f>
        <v>300</v>
      </c>
      <c r="J21" s="10">
        <f>IF('Editable assumptions'!B8="","",'Editable assumptions'!B8)</f>
        <v>300</v>
      </c>
      <c r="K21" s="10">
        <f>IF('Editable assumptions'!B8="","",'Editable assumptions'!B8)</f>
        <v>300</v>
      </c>
      <c r="L21" s="10">
        <f>IF('Editable assumptions'!B8="","",'Editable assumptions'!B8)</f>
        <v>300</v>
      </c>
      <c r="M21" s="10">
        <f>IF('Editable assumptions'!B8="","",'Editable assumptions'!B8)</f>
        <v>300</v>
      </c>
      <c r="N21" s="10">
        <f>IF('Editable assumptions'!B8="","",'Editable assumptions'!B8)</f>
        <v>300</v>
      </c>
      <c r="O21" s="10">
        <f>IF('Editable assumptions'!B8="","",'Editable assumptions'!B8)</f>
        <v>300</v>
      </c>
      <c r="P21" s="10">
        <f>IF('Editable assumptions'!B8="","",'Editable assumptions'!B8)</f>
        <v>300</v>
      </c>
      <c r="Q21" s="10">
        <f>IF('Editable assumptions'!B8="","",'Editable assumptions'!B8)</f>
        <v>300</v>
      </c>
      <c r="R21" s="10">
        <f>IF('Editable assumptions'!B8="","",'Editable assumptions'!B8)</f>
        <v>300</v>
      </c>
      <c r="S21" s="10">
        <f>IF('Editable assumptions'!B8="","",'Editable assumptions'!B8)</f>
        <v>300</v>
      </c>
      <c r="T21" s="10">
        <f>IF('Editable assumptions'!B8="","",'Editable assumptions'!B8)</f>
        <v>300</v>
      </c>
      <c r="U21" s="10">
        <f>IF('Editable assumptions'!B8="","",'Editable assumptions'!B8)</f>
        <v>300</v>
      </c>
      <c r="V21" s="10">
        <f>IF('Editable assumptions'!B8="","",'Editable assumptions'!B8)</f>
        <v>300</v>
      </c>
      <c r="W21" s="10">
        <f>IF('Editable assumptions'!B8="","",'Editable assumptions'!B8)</f>
        <v>300</v>
      </c>
      <c r="X21" s="10">
        <f>IF('Editable assumptions'!B8="","",'Editable assumptions'!B8)</f>
        <v>300</v>
      </c>
      <c r="Y21" s="10">
        <f>IF('Editable assumptions'!B8="","",'Editable assumptions'!B8)</f>
        <v>300</v>
      </c>
      <c r="Z21" s="10">
        <f>IF('Editable assumptions'!B8="","",'Editable assumptions'!B8)</f>
        <v>300</v>
      </c>
    </row>
    <row r="22">
      <c r="A22" t="inlineStr" s="7">
        <is>
          <t xml:space="preserve">Cost of revenue</t>
        </is>
      </c>
      <c r="B22" s="10">
        <v>0</v>
      </c>
      <c r="C22" s="10">
        <f>'Monthly forecast and cash'!C15+'Monthly forecast and cash'!C18+'Monthly forecast and cash'!C21</f>
        <v>540</v>
      </c>
      <c r="D22" s="10">
        <f>'Monthly forecast and cash'!D15+'Monthly forecast and cash'!D18+'Monthly forecast and cash'!D21</f>
        <v>630</v>
      </c>
      <c r="E22" s="10">
        <f>'Monthly forecast and cash'!E15+'Monthly forecast and cash'!E18+'Monthly forecast and cash'!E21</f>
        <v>720</v>
      </c>
      <c r="F22" s="10">
        <f>'Monthly forecast and cash'!F15+'Monthly forecast and cash'!F18+'Monthly forecast and cash'!F21</f>
        <v>810</v>
      </c>
      <c r="G22" s="10">
        <f>'Monthly forecast and cash'!G15+'Monthly forecast and cash'!G18+'Monthly forecast and cash'!G21</f>
        <v>900</v>
      </c>
      <c r="H22" s="10">
        <f>'Monthly forecast and cash'!H15+'Monthly forecast and cash'!H18+'Monthly forecast and cash'!H21</f>
        <v>990</v>
      </c>
      <c r="I22" s="10">
        <f>'Monthly forecast and cash'!I15+'Monthly forecast and cash'!I18+'Monthly forecast and cash'!I21</f>
        <v>1080</v>
      </c>
      <c r="J22" s="10">
        <f>'Monthly forecast and cash'!J15+'Monthly forecast and cash'!J18+'Monthly forecast and cash'!J21</f>
        <v>1170</v>
      </c>
      <c r="K22" s="10">
        <f>'Monthly forecast and cash'!K15+'Monthly forecast and cash'!K18+'Monthly forecast and cash'!K21</f>
        <v>1260</v>
      </c>
      <c r="L22" s="10">
        <f>'Monthly forecast and cash'!L15+'Monthly forecast and cash'!L18+'Monthly forecast and cash'!L21</f>
        <v>1350</v>
      </c>
      <c r="M22" s="10">
        <f>'Monthly forecast and cash'!M15+'Monthly forecast and cash'!M18+'Monthly forecast and cash'!M21</f>
        <v>1440</v>
      </c>
      <c r="N22" s="10">
        <f>'Monthly forecast and cash'!N15+'Monthly forecast and cash'!N18+'Monthly forecast and cash'!N21</f>
        <v>1530</v>
      </c>
      <c r="O22" s="10">
        <f>'Monthly forecast and cash'!O15+'Monthly forecast and cash'!O18+'Monthly forecast and cash'!O21</f>
        <v>1620</v>
      </c>
      <c r="P22" s="10">
        <f>'Monthly forecast and cash'!P15+'Monthly forecast and cash'!P18+'Monthly forecast and cash'!P21</f>
        <v>1710</v>
      </c>
      <c r="Q22" s="10">
        <f>'Monthly forecast and cash'!Q15+'Monthly forecast and cash'!Q18+'Monthly forecast and cash'!Q21</f>
        <v>1800</v>
      </c>
      <c r="R22" s="10">
        <f>'Monthly forecast and cash'!R15+'Monthly forecast and cash'!R18+'Monthly forecast and cash'!R21</f>
        <v>1890</v>
      </c>
      <c r="S22" s="10">
        <f>'Monthly forecast and cash'!S15+'Monthly forecast and cash'!S18+'Monthly forecast and cash'!S21</f>
        <v>1980</v>
      </c>
      <c r="T22" s="10">
        <f>'Monthly forecast and cash'!T15+'Monthly forecast and cash'!T18+'Monthly forecast and cash'!T21</f>
        <v>2070</v>
      </c>
      <c r="U22" s="10">
        <f>'Monthly forecast and cash'!U15+'Monthly forecast and cash'!U18+'Monthly forecast and cash'!U21</f>
        <v>2160</v>
      </c>
      <c r="V22" s="10">
        <f>'Monthly forecast and cash'!V15+'Monthly forecast and cash'!V18+'Monthly forecast and cash'!V21</f>
        <v>2250</v>
      </c>
      <c r="W22" s="10">
        <f>'Monthly forecast and cash'!W15+'Monthly forecast and cash'!W18+'Monthly forecast and cash'!W21</f>
        <v>2340</v>
      </c>
      <c r="X22" s="10">
        <f>'Monthly forecast and cash'!X15+'Monthly forecast and cash'!X18+'Monthly forecast and cash'!X21</f>
        <v>2430</v>
      </c>
      <c r="Y22" s="10">
        <f>'Monthly forecast and cash'!Y15+'Monthly forecast and cash'!Y18+'Monthly forecast and cash'!Y21</f>
        <v>2520</v>
      </c>
      <c r="Z22" s="10">
        <f>'Monthly forecast and cash'!Z15+'Monthly forecast and cash'!Z18+'Monthly forecast and cash'!Z21</f>
        <v>2610</v>
      </c>
    </row>
    <row r="23">
      <c r="A23" t="inlineStr" s="7">
        <is>
          <t xml:space="preserve">Gross profit</t>
        </is>
      </c>
      <c r="B23" s="10">
        <v>0</v>
      </c>
      <c r="C23" s="10">
        <f>'Monthly forecast and cash'!C12-'Monthly forecast and cash'!C22</f>
        <v>-45</v>
      </c>
      <c r="D23" s="10">
        <f>'Monthly forecast and cash'!D12-'Monthly forecast and cash'!D22</f>
        <v>360</v>
      </c>
      <c r="E23" s="10">
        <f>'Monthly forecast and cash'!E12-'Monthly forecast and cash'!E22</f>
        <v>765</v>
      </c>
      <c r="F23" s="10">
        <f>'Monthly forecast and cash'!F12-'Monthly forecast and cash'!F22</f>
        <v>1170</v>
      </c>
      <c r="G23" s="10">
        <f>'Monthly forecast and cash'!G12-'Monthly forecast and cash'!G22</f>
        <v>1575</v>
      </c>
      <c r="H23" s="10">
        <f>'Monthly forecast and cash'!H12-'Monthly forecast and cash'!H22</f>
        <v>1980</v>
      </c>
      <c r="I23" s="10">
        <f>'Monthly forecast and cash'!I12-'Monthly forecast and cash'!I22</f>
        <v>2385</v>
      </c>
      <c r="J23" s="10">
        <f>'Monthly forecast and cash'!J12-'Monthly forecast and cash'!J22</f>
        <v>2790</v>
      </c>
      <c r="K23" s="10">
        <f>'Monthly forecast and cash'!K12-'Monthly forecast and cash'!K22</f>
        <v>3195</v>
      </c>
      <c r="L23" s="10">
        <f>'Monthly forecast and cash'!L12-'Monthly forecast and cash'!L22</f>
        <v>3600</v>
      </c>
      <c r="M23" s="10">
        <f>'Monthly forecast and cash'!M12-'Monthly forecast and cash'!M22</f>
        <v>4005</v>
      </c>
      <c r="N23" s="10">
        <f>'Monthly forecast and cash'!N12-'Monthly forecast and cash'!N22</f>
        <v>4410</v>
      </c>
      <c r="O23" s="10">
        <f>'Monthly forecast and cash'!O12-'Monthly forecast and cash'!O22</f>
        <v>4815</v>
      </c>
      <c r="P23" s="10">
        <f>'Monthly forecast and cash'!P12-'Monthly forecast and cash'!P22</f>
        <v>5220</v>
      </c>
      <c r="Q23" s="10">
        <f>'Monthly forecast and cash'!Q12-'Monthly forecast and cash'!Q22</f>
        <v>5625</v>
      </c>
      <c r="R23" s="10">
        <f>'Monthly forecast and cash'!R12-'Monthly forecast and cash'!R22</f>
        <v>6030</v>
      </c>
      <c r="S23" s="10">
        <f>'Monthly forecast and cash'!S12-'Monthly forecast and cash'!S22</f>
        <v>6435</v>
      </c>
      <c r="T23" s="10">
        <f>'Monthly forecast and cash'!T12-'Monthly forecast and cash'!T22</f>
        <v>6840</v>
      </c>
      <c r="U23" s="10">
        <f>'Monthly forecast and cash'!U12-'Monthly forecast and cash'!U22</f>
        <v>7245</v>
      </c>
      <c r="V23" s="10">
        <f>'Monthly forecast and cash'!V12-'Monthly forecast and cash'!V22</f>
        <v>7650</v>
      </c>
      <c r="W23" s="10">
        <f>'Monthly forecast and cash'!W12-'Monthly forecast and cash'!W22</f>
        <v>8055</v>
      </c>
      <c r="X23" s="10">
        <f>'Monthly forecast and cash'!X12-'Monthly forecast and cash'!X22</f>
        <v>8460</v>
      </c>
      <c r="Y23" s="10">
        <f>'Monthly forecast and cash'!Y12-'Monthly forecast and cash'!Y22</f>
        <v>8865</v>
      </c>
      <c r="Z23" s="10">
        <f>'Monthly forecast and cash'!Z12-'Monthly forecast and cash'!Z22</f>
        <v>9270</v>
      </c>
    </row>
    <row r="24">
      <c r="A24" t="inlineStr" s="7">
        <is>
          <t xml:space="preserve">Gross margin</t>
        </is>
      </c>
      <c r="B24" t="str" s="18">
        <f>IFERROR('Monthly forecast and cash'!B23/'Monthly forecast and cash'!B12,"")</f>
        <v/>
      </c>
      <c r="C24" s="18">
        <f>IFERROR('Monthly forecast and cash'!C23/'Monthly forecast and cash'!C12,"")</f>
        <v>-0.09090909090909091</v>
      </c>
      <c r="D24" s="18">
        <f>IFERROR('Monthly forecast and cash'!D23/'Monthly forecast and cash'!D12,"")</f>
        <v>0.36363636363636365</v>
      </c>
      <c r="E24" s="18">
        <f>IFERROR('Monthly forecast and cash'!E23/'Monthly forecast and cash'!E12,"")</f>
        <v>0.5151515151515151</v>
      </c>
      <c r="F24" s="18">
        <f>IFERROR('Monthly forecast and cash'!F23/'Monthly forecast and cash'!F12,"")</f>
        <v>0.5909090909090909</v>
      </c>
      <c r="G24" s="18">
        <f>IFERROR('Monthly forecast and cash'!G23/'Monthly forecast and cash'!G12,"")</f>
        <v>0.6363636363636364</v>
      </c>
      <c r="H24" s="18">
        <f>IFERROR('Monthly forecast and cash'!H23/'Monthly forecast and cash'!H12,"")</f>
        <v>0.6666666666666666</v>
      </c>
      <c r="I24" s="18">
        <f>IFERROR('Monthly forecast and cash'!I23/'Monthly forecast and cash'!I12,"")</f>
        <v>0.6883116883116883</v>
      </c>
      <c r="J24" s="18">
        <f>IFERROR('Monthly forecast and cash'!J23/'Monthly forecast and cash'!J12,"")</f>
        <v>0.7045454545454546</v>
      </c>
      <c r="K24" s="18">
        <f>IFERROR('Monthly forecast and cash'!K23/'Monthly forecast and cash'!K12,"")</f>
        <v>0.7171717171717171</v>
      </c>
      <c r="L24" s="18">
        <f>IFERROR('Monthly forecast and cash'!L23/'Monthly forecast and cash'!L12,"")</f>
        <v>0.7272727272727273</v>
      </c>
      <c r="M24" s="18">
        <f>IFERROR('Monthly forecast and cash'!M23/'Monthly forecast and cash'!M12,"")</f>
        <v>0.7355371900826446</v>
      </c>
      <c r="N24" s="18">
        <f>IFERROR('Monthly forecast and cash'!N23/'Monthly forecast and cash'!N12,"")</f>
        <v>0.7424242424242424</v>
      </c>
      <c r="O24" s="18">
        <f>IFERROR('Monthly forecast and cash'!O23/'Monthly forecast and cash'!O12,"")</f>
        <v>0.7482517482517482</v>
      </c>
      <c r="P24" s="18">
        <f>IFERROR('Monthly forecast and cash'!P23/'Monthly forecast and cash'!P12,"")</f>
        <v>0.7532467532467533</v>
      </c>
      <c r="Q24" s="18">
        <f>IFERROR('Monthly forecast and cash'!Q23/'Monthly forecast and cash'!Q12,"")</f>
        <v>0.7575757575757576</v>
      </c>
      <c r="R24" s="18">
        <f>IFERROR('Monthly forecast and cash'!R23/'Monthly forecast and cash'!R12,"")</f>
        <v>0.7613636363636364</v>
      </c>
      <c r="S24" s="18">
        <f>IFERROR('Monthly forecast and cash'!S23/'Monthly forecast and cash'!S12,"")</f>
        <v>0.7647058823529411</v>
      </c>
      <c r="T24" s="18">
        <f>IFERROR('Monthly forecast and cash'!T23/'Monthly forecast and cash'!T12,"")</f>
        <v>0.7676767676767676</v>
      </c>
      <c r="U24" s="18">
        <f>IFERROR('Monthly forecast and cash'!U23/'Monthly forecast and cash'!U12,"")</f>
        <v>0.7703349282296651</v>
      </c>
      <c r="V24" s="18">
        <f>IFERROR('Monthly forecast and cash'!V23/'Monthly forecast and cash'!V12,"")</f>
        <v>0.7727272727272727</v>
      </c>
      <c r="W24" s="18">
        <f>IFERROR('Monthly forecast and cash'!W23/'Monthly forecast and cash'!W12,"")</f>
        <v>0.7748917748917749</v>
      </c>
      <c r="X24" s="18">
        <f>IFERROR('Monthly forecast and cash'!X23/'Monthly forecast and cash'!X12,"")</f>
        <v>0.7768595041322314</v>
      </c>
      <c r="Y24" s="18">
        <f>IFERROR('Monthly forecast and cash'!Y23/'Monthly forecast and cash'!Y12,"")</f>
        <v>0.7786561264822134</v>
      </c>
      <c r="Z24" s="18">
        <f>IFERROR('Monthly forecast and cash'!Z23/'Monthly forecast and cash'!Z12,"")</f>
        <v>0.7803030303030303</v>
      </c>
    </row>
    <row r="25">
      <c r="A25" t="inlineStr" s="5">
        <is>
          <t xml:space="preserve">Founder pay</t>
        </is>
      </c>
      <c r="B25" s="13">
        <f>SUM('Monthly forecast and cash'!B26)</f>
        <v>0</v>
      </c>
      <c r="C25" s="13">
        <f>SUM('Monthly forecast and cash'!C26)</f>
        <v>0</v>
      </c>
      <c r="D25" s="13">
        <f>SUM('Monthly forecast and cash'!D26)</f>
        <v>0</v>
      </c>
      <c r="E25" s="13">
        <f>SUM('Monthly forecast and cash'!E26)</f>
        <v>0</v>
      </c>
      <c r="F25" s="13">
        <f>SUM('Monthly forecast and cash'!F26)</f>
        <v>0</v>
      </c>
      <c r="G25" s="13">
        <f>SUM('Monthly forecast and cash'!G26)</f>
        <v>0</v>
      </c>
      <c r="H25" s="13">
        <f>SUM('Monthly forecast and cash'!H26)</f>
        <v>0</v>
      </c>
      <c r="I25" s="13">
        <f>SUM('Monthly forecast and cash'!I26)</f>
        <v>8000</v>
      </c>
      <c r="J25" s="13">
        <f>SUM('Monthly forecast and cash'!J26)</f>
        <v>8000</v>
      </c>
      <c r="K25" s="13">
        <f>SUM('Monthly forecast and cash'!K26)</f>
        <v>8000</v>
      </c>
      <c r="L25" s="13">
        <f>SUM('Monthly forecast and cash'!L26)</f>
        <v>8000</v>
      </c>
      <c r="M25" s="13">
        <f>SUM('Monthly forecast and cash'!M26)</f>
        <v>8000</v>
      </c>
      <c r="N25" s="13">
        <f>SUM('Monthly forecast and cash'!N26)</f>
        <v>8000</v>
      </c>
      <c r="O25" s="13">
        <f>SUM('Monthly forecast and cash'!O26)</f>
        <v>8000</v>
      </c>
      <c r="P25" s="13">
        <f>SUM('Monthly forecast and cash'!P26)</f>
        <v>8000</v>
      </c>
      <c r="Q25" s="13">
        <f>SUM('Monthly forecast and cash'!Q26)</f>
        <v>8000</v>
      </c>
      <c r="R25" s="13">
        <f>SUM('Monthly forecast and cash'!R26)</f>
        <v>8000</v>
      </c>
      <c r="S25" s="13">
        <f>SUM('Monthly forecast and cash'!S26)</f>
        <v>8000</v>
      </c>
      <c r="T25" s="13">
        <f>SUM('Monthly forecast and cash'!T26)</f>
        <v>8000</v>
      </c>
      <c r="U25" s="13">
        <f>SUM('Monthly forecast and cash'!U26)</f>
        <v>8000</v>
      </c>
      <c r="V25" s="13">
        <f>SUM('Monthly forecast and cash'!V26)</f>
        <v>8000</v>
      </c>
      <c r="W25" s="13">
        <f>SUM('Monthly forecast and cash'!W26)</f>
        <v>8000</v>
      </c>
      <c r="X25" s="13">
        <f>SUM('Monthly forecast and cash'!X26)</f>
        <v>8000</v>
      </c>
      <c r="Y25" s="13">
        <f>SUM('Monthly forecast and cash'!Y26)</f>
        <v>8000</v>
      </c>
      <c r="Z25" s="13">
        <f>SUM('Monthly forecast and cash'!Z26)</f>
        <v>8000</v>
      </c>
    </row>
    <row r="26" outlineLevel="1">
      <c r="A26" t="inlineStr" s="17">
        <is>
          <t xml:space="preserve">Founder — sole operator</t>
        </is>
      </c>
      <c r="B26" s="10">
        <f>0</f>
        <v>0</v>
      </c>
      <c r="C26" s="10">
        <f>IF(IF(IF(ISERROR('Monthly forecast and cash'!C5&lt;='Editable assumptions'!B10),'Monthly forecast and cash'!C5&lt;='Editable assumptions'!B10,IF(OR('Monthly forecast and cash'!C5="",'Editable assumptions'!B10=""),"",'Monthly forecast and cash'!C5&lt;='Editable assumptions'!B10))="",FALSE,IF(ISERROR('Monthly forecast and cash'!C5&lt;='Editable assumptions'!B10),'Monthly forecast and cash'!C5&lt;='Editable assumptions'!B10,IF(OR('Monthly forecast and cash'!C5="",'Editable assumptions'!B10=""),"",'Monthly forecast and cash'!C5&lt;='Editable assumptions'!B10))),0,IF('Editable assumptions'!B9="","",'Editable assumptions'!B9))</f>
        <v>0</v>
      </c>
      <c r="D26" s="10">
        <f>IF(IF(IF(ISERROR('Monthly forecast and cash'!D5&lt;='Editable assumptions'!B10),'Monthly forecast and cash'!D5&lt;='Editable assumptions'!B10,IF(OR('Monthly forecast and cash'!D5="",'Editable assumptions'!B10=""),"",'Monthly forecast and cash'!D5&lt;='Editable assumptions'!B10))="",FALSE,IF(ISERROR('Monthly forecast and cash'!D5&lt;='Editable assumptions'!B10),'Monthly forecast and cash'!D5&lt;='Editable assumptions'!B10,IF(OR('Monthly forecast and cash'!D5="",'Editable assumptions'!B10=""),"",'Monthly forecast and cash'!D5&lt;='Editable assumptions'!B10))),0,IF('Editable assumptions'!B9="","",'Editable assumptions'!B9))</f>
        <v>0</v>
      </c>
      <c r="E26" s="10">
        <f>IF(IF(IF(ISERROR('Monthly forecast and cash'!E5&lt;='Editable assumptions'!B10),'Monthly forecast and cash'!E5&lt;='Editable assumptions'!B10,IF(OR('Monthly forecast and cash'!E5="",'Editable assumptions'!B10=""),"",'Monthly forecast and cash'!E5&lt;='Editable assumptions'!B10))="",FALSE,IF(ISERROR('Monthly forecast and cash'!E5&lt;='Editable assumptions'!B10),'Monthly forecast and cash'!E5&lt;='Editable assumptions'!B10,IF(OR('Monthly forecast and cash'!E5="",'Editable assumptions'!B10=""),"",'Monthly forecast and cash'!E5&lt;='Editable assumptions'!B10))),0,IF('Editable assumptions'!B9="","",'Editable assumptions'!B9))</f>
        <v>0</v>
      </c>
      <c r="F26" s="10">
        <f>IF(IF(IF(ISERROR('Monthly forecast and cash'!F5&lt;='Editable assumptions'!B10),'Monthly forecast and cash'!F5&lt;='Editable assumptions'!B10,IF(OR('Monthly forecast and cash'!F5="",'Editable assumptions'!B10=""),"",'Monthly forecast and cash'!F5&lt;='Editable assumptions'!B10))="",FALSE,IF(ISERROR('Monthly forecast and cash'!F5&lt;='Editable assumptions'!B10),'Monthly forecast and cash'!F5&lt;='Editable assumptions'!B10,IF(OR('Monthly forecast and cash'!F5="",'Editable assumptions'!B10=""),"",'Monthly forecast and cash'!F5&lt;='Editable assumptions'!B10))),0,IF('Editable assumptions'!B9="","",'Editable assumptions'!B9))</f>
        <v>0</v>
      </c>
      <c r="G26" s="10">
        <f>IF(IF(IF(ISERROR('Monthly forecast and cash'!G5&lt;='Editable assumptions'!B10),'Monthly forecast and cash'!G5&lt;='Editable assumptions'!B10,IF(OR('Monthly forecast and cash'!G5="",'Editable assumptions'!B10=""),"",'Monthly forecast and cash'!G5&lt;='Editable assumptions'!B10))="",FALSE,IF(ISERROR('Monthly forecast and cash'!G5&lt;='Editable assumptions'!B10),'Monthly forecast and cash'!G5&lt;='Editable assumptions'!B10,IF(OR('Monthly forecast and cash'!G5="",'Editable assumptions'!B10=""),"",'Monthly forecast and cash'!G5&lt;='Editable assumptions'!B10))),0,IF('Editable assumptions'!B9="","",'Editable assumptions'!B9))</f>
        <v>0</v>
      </c>
      <c r="H26" s="10">
        <f>IF(IF(IF(ISERROR('Monthly forecast and cash'!H5&lt;='Editable assumptions'!B10),'Monthly forecast and cash'!H5&lt;='Editable assumptions'!B10,IF(OR('Monthly forecast and cash'!H5="",'Editable assumptions'!B10=""),"",'Monthly forecast and cash'!H5&lt;='Editable assumptions'!B10))="",FALSE,IF(ISERROR('Monthly forecast and cash'!H5&lt;='Editable assumptions'!B10),'Monthly forecast and cash'!H5&lt;='Editable assumptions'!B10,IF(OR('Monthly forecast and cash'!H5="",'Editable assumptions'!B10=""),"",'Monthly forecast and cash'!H5&lt;='Editable assumptions'!B10))),0,IF('Editable assumptions'!B9="","",'Editable assumptions'!B9))</f>
        <v>0</v>
      </c>
      <c r="I26" s="10">
        <f>IF(IF(IF(ISERROR('Monthly forecast and cash'!I5&lt;='Editable assumptions'!B10),'Monthly forecast and cash'!I5&lt;='Editable assumptions'!B10,IF(OR('Monthly forecast and cash'!I5="",'Editable assumptions'!B10=""),"",'Monthly forecast and cash'!I5&lt;='Editable assumptions'!B10))="",FALSE,IF(ISERROR('Monthly forecast and cash'!I5&lt;='Editable assumptions'!B10),'Monthly forecast and cash'!I5&lt;='Editable assumptions'!B10,IF(OR('Monthly forecast and cash'!I5="",'Editable assumptions'!B10=""),"",'Monthly forecast and cash'!I5&lt;='Editable assumptions'!B10))),0,IF('Editable assumptions'!B9="","",'Editable assumptions'!B9))</f>
        <v>8000</v>
      </c>
      <c r="J26" s="10">
        <f>IF(IF(IF(ISERROR('Monthly forecast and cash'!J5&lt;='Editable assumptions'!B10),'Monthly forecast and cash'!J5&lt;='Editable assumptions'!B10,IF(OR('Monthly forecast and cash'!J5="",'Editable assumptions'!B10=""),"",'Monthly forecast and cash'!J5&lt;='Editable assumptions'!B10))="",FALSE,IF(ISERROR('Monthly forecast and cash'!J5&lt;='Editable assumptions'!B10),'Monthly forecast and cash'!J5&lt;='Editable assumptions'!B10,IF(OR('Monthly forecast and cash'!J5="",'Editable assumptions'!B10=""),"",'Monthly forecast and cash'!J5&lt;='Editable assumptions'!B10))),0,IF('Editable assumptions'!B9="","",'Editable assumptions'!B9))</f>
        <v>8000</v>
      </c>
      <c r="K26" s="10">
        <f>IF(IF(IF(ISERROR('Monthly forecast and cash'!K5&lt;='Editable assumptions'!B10),'Monthly forecast and cash'!K5&lt;='Editable assumptions'!B10,IF(OR('Monthly forecast and cash'!K5="",'Editable assumptions'!B10=""),"",'Monthly forecast and cash'!K5&lt;='Editable assumptions'!B10))="",FALSE,IF(ISERROR('Monthly forecast and cash'!K5&lt;='Editable assumptions'!B10),'Monthly forecast and cash'!K5&lt;='Editable assumptions'!B10,IF(OR('Monthly forecast and cash'!K5="",'Editable assumptions'!B10=""),"",'Monthly forecast and cash'!K5&lt;='Editable assumptions'!B10))),0,IF('Editable assumptions'!B9="","",'Editable assumptions'!B9))</f>
        <v>8000</v>
      </c>
      <c r="L26" s="10">
        <f>IF(IF(IF(ISERROR('Monthly forecast and cash'!L5&lt;='Editable assumptions'!B10),'Monthly forecast and cash'!L5&lt;='Editable assumptions'!B10,IF(OR('Monthly forecast and cash'!L5="",'Editable assumptions'!B10=""),"",'Monthly forecast and cash'!L5&lt;='Editable assumptions'!B10))="",FALSE,IF(ISERROR('Monthly forecast and cash'!L5&lt;='Editable assumptions'!B10),'Monthly forecast and cash'!L5&lt;='Editable assumptions'!B10,IF(OR('Monthly forecast and cash'!L5="",'Editable assumptions'!B10=""),"",'Monthly forecast and cash'!L5&lt;='Editable assumptions'!B10))),0,IF('Editable assumptions'!B9="","",'Editable assumptions'!B9))</f>
        <v>8000</v>
      </c>
      <c r="M26" s="10">
        <f>IF(IF(IF(ISERROR('Monthly forecast and cash'!M5&lt;='Editable assumptions'!B10),'Monthly forecast and cash'!M5&lt;='Editable assumptions'!B10,IF(OR('Monthly forecast and cash'!M5="",'Editable assumptions'!B10=""),"",'Monthly forecast and cash'!M5&lt;='Editable assumptions'!B10))="",FALSE,IF(ISERROR('Monthly forecast and cash'!M5&lt;='Editable assumptions'!B10),'Monthly forecast and cash'!M5&lt;='Editable assumptions'!B10,IF(OR('Monthly forecast and cash'!M5="",'Editable assumptions'!B10=""),"",'Monthly forecast and cash'!M5&lt;='Editable assumptions'!B10))),0,IF('Editable assumptions'!B9="","",'Editable assumptions'!B9))</f>
        <v>8000</v>
      </c>
      <c r="N26" s="10">
        <f>IF(IF(IF(ISERROR('Monthly forecast and cash'!N5&lt;='Editable assumptions'!B10),'Monthly forecast and cash'!N5&lt;='Editable assumptions'!B10,IF(OR('Monthly forecast and cash'!N5="",'Editable assumptions'!B10=""),"",'Monthly forecast and cash'!N5&lt;='Editable assumptions'!B10))="",FALSE,IF(ISERROR('Monthly forecast and cash'!N5&lt;='Editable assumptions'!B10),'Monthly forecast and cash'!N5&lt;='Editable assumptions'!B10,IF(OR('Monthly forecast and cash'!N5="",'Editable assumptions'!B10=""),"",'Monthly forecast and cash'!N5&lt;='Editable assumptions'!B10))),0,IF('Editable assumptions'!B9="","",'Editable assumptions'!B9))</f>
        <v>8000</v>
      </c>
      <c r="O26" s="10">
        <f>IF(IF(IF(ISERROR('Monthly forecast and cash'!O5&lt;='Editable assumptions'!B10),'Monthly forecast and cash'!O5&lt;='Editable assumptions'!B10,IF(OR('Monthly forecast and cash'!O5="",'Editable assumptions'!B10=""),"",'Monthly forecast and cash'!O5&lt;='Editable assumptions'!B10))="",FALSE,IF(ISERROR('Monthly forecast and cash'!O5&lt;='Editable assumptions'!B10),'Monthly forecast and cash'!O5&lt;='Editable assumptions'!B10,IF(OR('Monthly forecast and cash'!O5="",'Editable assumptions'!B10=""),"",'Monthly forecast and cash'!O5&lt;='Editable assumptions'!B10))),0,IF('Editable assumptions'!B9="","",'Editable assumptions'!B9))</f>
        <v>8000</v>
      </c>
      <c r="P26" s="10">
        <f>IF(IF(IF(ISERROR('Monthly forecast and cash'!P5&lt;='Editable assumptions'!B10),'Monthly forecast and cash'!P5&lt;='Editable assumptions'!B10,IF(OR('Monthly forecast and cash'!P5="",'Editable assumptions'!B10=""),"",'Monthly forecast and cash'!P5&lt;='Editable assumptions'!B10))="",FALSE,IF(ISERROR('Monthly forecast and cash'!P5&lt;='Editable assumptions'!B10),'Monthly forecast and cash'!P5&lt;='Editable assumptions'!B10,IF(OR('Monthly forecast and cash'!P5="",'Editable assumptions'!B10=""),"",'Monthly forecast and cash'!P5&lt;='Editable assumptions'!B10))),0,IF('Editable assumptions'!B9="","",'Editable assumptions'!B9))</f>
        <v>8000</v>
      </c>
      <c r="Q26" s="10">
        <f>IF(IF(IF(ISERROR('Monthly forecast and cash'!Q5&lt;='Editable assumptions'!B10),'Monthly forecast and cash'!Q5&lt;='Editable assumptions'!B10,IF(OR('Monthly forecast and cash'!Q5="",'Editable assumptions'!B10=""),"",'Monthly forecast and cash'!Q5&lt;='Editable assumptions'!B10))="",FALSE,IF(ISERROR('Monthly forecast and cash'!Q5&lt;='Editable assumptions'!B10),'Monthly forecast and cash'!Q5&lt;='Editable assumptions'!B10,IF(OR('Monthly forecast and cash'!Q5="",'Editable assumptions'!B10=""),"",'Monthly forecast and cash'!Q5&lt;='Editable assumptions'!B10))),0,IF('Editable assumptions'!B9="","",'Editable assumptions'!B9))</f>
        <v>8000</v>
      </c>
      <c r="R26" s="10">
        <f>IF(IF(IF(ISERROR('Monthly forecast and cash'!R5&lt;='Editable assumptions'!B10),'Monthly forecast and cash'!R5&lt;='Editable assumptions'!B10,IF(OR('Monthly forecast and cash'!R5="",'Editable assumptions'!B10=""),"",'Monthly forecast and cash'!R5&lt;='Editable assumptions'!B10))="",FALSE,IF(ISERROR('Monthly forecast and cash'!R5&lt;='Editable assumptions'!B10),'Monthly forecast and cash'!R5&lt;='Editable assumptions'!B10,IF(OR('Monthly forecast and cash'!R5="",'Editable assumptions'!B10=""),"",'Monthly forecast and cash'!R5&lt;='Editable assumptions'!B10))),0,IF('Editable assumptions'!B9="","",'Editable assumptions'!B9))</f>
        <v>8000</v>
      </c>
      <c r="S26" s="10">
        <f>IF(IF(IF(ISERROR('Monthly forecast and cash'!S5&lt;='Editable assumptions'!B10),'Monthly forecast and cash'!S5&lt;='Editable assumptions'!B10,IF(OR('Monthly forecast and cash'!S5="",'Editable assumptions'!B10=""),"",'Monthly forecast and cash'!S5&lt;='Editable assumptions'!B10))="",FALSE,IF(ISERROR('Monthly forecast and cash'!S5&lt;='Editable assumptions'!B10),'Monthly forecast and cash'!S5&lt;='Editable assumptions'!B10,IF(OR('Monthly forecast and cash'!S5="",'Editable assumptions'!B10=""),"",'Monthly forecast and cash'!S5&lt;='Editable assumptions'!B10))),0,IF('Editable assumptions'!B9="","",'Editable assumptions'!B9))</f>
        <v>8000</v>
      </c>
      <c r="T26" s="10">
        <f>IF(IF(IF(ISERROR('Monthly forecast and cash'!T5&lt;='Editable assumptions'!B10),'Monthly forecast and cash'!T5&lt;='Editable assumptions'!B10,IF(OR('Monthly forecast and cash'!T5="",'Editable assumptions'!B10=""),"",'Monthly forecast and cash'!T5&lt;='Editable assumptions'!B10))="",FALSE,IF(ISERROR('Monthly forecast and cash'!T5&lt;='Editable assumptions'!B10),'Monthly forecast and cash'!T5&lt;='Editable assumptions'!B10,IF(OR('Monthly forecast and cash'!T5="",'Editable assumptions'!B10=""),"",'Monthly forecast and cash'!T5&lt;='Editable assumptions'!B10))),0,IF('Editable assumptions'!B9="","",'Editable assumptions'!B9))</f>
        <v>8000</v>
      </c>
      <c r="U26" s="10">
        <f>IF(IF(IF(ISERROR('Monthly forecast and cash'!U5&lt;='Editable assumptions'!B10),'Monthly forecast and cash'!U5&lt;='Editable assumptions'!B10,IF(OR('Monthly forecast and cash'!U5="",'Editable assumptions'!B10=""),"",'Monthly forecast and cash'!U5&lt;='Editable assumptions'!B10))="",FALSE,IF(ISERROR('Monthly forecast and cash'!U5&lt;='Editable assumptions'!B10),'Monthly forecast and cash'!U5&lt;='Editable assumptions'!B10,IF(OR('Monthly forecast and cash'!U5="",'Editable assumptions'!B10=""),"",'Monthly forecast and cash'!U5&lt;='Editable assumptions'!B10))),0,IF('Editable assumptions'!B9="","",'Editable assumptions'!B9))</f>
        <v>8000</v>
      </c>
      <c r="V26" s="10">
        <f>IF(IF(IF(ISERROR('Monthly forecast and cash'!V5&lt;='Editable assumptions'!B10),'Monthly forecast and cash'!V5&lt;='Editable assumptions'!B10,IF(OR('Monthly forecast and cash'!V5="",'Editable assumptions'!B10=""),"",'Monthly forecast and cash'!V5&lt;='Editable assumptions'!B10))="",FALSE,IF(ISERROR('Monthly forecast and cash'!V5&lt;='Editable assumptions'!B10),'Monthly forecast and cash'!V5&lt;='Editable assumptions'!B10,IF(OR('Monthly forecast and cash'!V5="",'Editable assumptions'!B10=""),"",'Monthly forecast and cash'!V5&lt;='Editable assumptions'!B10))),0,IF('Editable assumptions'!B9="","",'Editable assumptions'!B9))</f>
        <v>8000</v>
      </c>
      <c r="W26" s="10">
        <f>IF(IF(IF(ISERROR('Monthly forecast and cash'!W5&lt;='Editable assumptions'!B10),'Monthly forecast and cash'!W5&lt;='Editable assumptions'!B10,IF(OR('Monthly forecast and cash'!W5="",'Editable assumptions'!B10=""),"",'Monthly forecast and cash'!W5&lt;='Editable assumptions'!B10))="",FALSE,IF(ISERROR('Monthly forecast and cash'!W5&lt;='Editable assumptions'!B10),'Monthly forecast and cash'!W5&lt;='Editable assumptions'!B10,IF(OR('Monthly forecast and cash'!W5="",'Editable assumptions'!B10=""),"",'Monthly forecast and cash'!W5&lt;='Editable assumptions'!B10))),0,IF('Editable assumptions'!B9="","",'Editable assumptions'!B9))</f>
        <v>8000</v>
      </c>
      <c r="X26" s="10">
        <f>IF(IF(IF(ISERROR('Monthly forecast and cash'!X5&lt;='Editable assumptions'!B10),'Monthly forecast and cash'!X5&lt;='Editable assumptions'!B10,IF(OR('Monthly forecast and cash'!X5="",'Editable assumptions'!B10=""),"",'Monthly forecast and cash'!X5&lt;='Editable assumptions'!B10))="",FALSE,IF(ISERROR('Monthly forecast and cash'!X5&lt;='Editable assumptions'!B10),'Monthly forecast and cash'!X5&lt;='Editable assumptions'!B10,IF(OR('Monthly forecast and cash'!X5="",'Editable assumptions'!B10=""),"",'Monthly forecast and cash'!X5&lt;='Editable assumptions'!B10))),0,IF('Editable assumptions'!B9="","",'Editable assumptions'!B9))</f>
        <v>8000</v>
      </c>
      <c r="Y26" s="10">
        <f>IF(IF(IF(ISERROR('Monthly forecast and cash'!Y5&lt;='Editable assumptions'!B10),'Monthly forecast and cash'!Y5&lt;='Editable assumptions'!B10,IF(OR('Monthly forecast and cash'!Y5="",'Editable assumptions'!B10=""),"",'Monthly forecast and cash'!Y5&lt;='Editable assumptions'!B10))="",FALSE,IF(ISERROR('Monthly forecast and cash'!Y5&lt;='Editable assumptions'!B10),'Monthly forecast and cash'!Y5&lt;='Editable assumptions'!B10,IF(OR('Monthly forecast and cash'!Y5="",'Editable assumptions'!B10=""),"",'Monthly forecast and cash'!Y5&lt;='Editable assumptions'!B10))),0,IF('Editable assumptions'!B9="","",'Editable assumptions'!B9))</f>
        <v>8000</v>
      </c>
      <c r="Z26" s="10">
        <f>IF(IF(IF(ISERROR('Monthly forecast and cash'!Z5&lt;='Editable assumptions'!B10),'Monthly forecast and cash'!Z5&lt;='Editable assumptions'!B10,IF(OR('Monthly forecast and cash'!Z5="",'Editable assumptions'!B10=""),"",'Monthly forecast and cash'!Z5&lt;='Editable assumptions'!B10))="",FALSE,IF(ISERROR('Monthly forecast and cash'!Z5&lt;='Editable assumptions'!B10),'Monthly forecast and cash'!Z5&lt;='Editable assumptions'!B10,IF(OR('Monthly forecast and cash'!Z5="",'Editable assumptions'!B10=""),"",'Monthly forecast and cash'!Z5&lt;='Editable assumptions'!B10))),0,IF('Editable assumptions'!B9="","",'Editable assumptions'!B9))</f>
        <v>8000</v>
      </c>
    </row>
    <row r="27">
      <c r="A27" t="inlineStr" s="7">
        <is>
          <t xml:space="preserve">Operating profit</t>
        </is>
      </c>
      <c r="B27" s="10">
        <v>0</v>
      </c>
      <c r="C27" s="10">
        <f>'Monthly forecast and cash'!C23-'Monthly forecast and cash'!C25</f>
        <v>-45</v>
      </c>
      <c r="D27" s="10">
        <f>'Monthly forecast and cash'!D23-'Monthly forecast and cash'!D25</f>
        <v>360</v>
      </c>
      <c r="E27" s="10">
        <f>'Monthly forecast and cash'!E23-'Monthly forecast and cash'!E25</f>
        <v>765</v>
      </c>
      <c r="F27" s="10">
        <f>'Monthly forecast and cash'!F23-'Monthly forecast and cash'!F25</f>
        <v>1170</v>
      </c>
      <c r="G27" s="10">
        <f>'Monthly forecast and cash'!G23-'Monthly forecast and cash'!G25</f>
        <v>1575</v>
      </c>
      <c r="H27" s="10">
        <f>'Monthly forecast and cash'!H23-'Monthly forecast and cash'!H25</f>
        <v>1980</v>
      </c>
      <c r="I27" s="10">
        <f>'Monthly forecast and cash'!I23-'Monthly forecast and cash'!I25</f>
        <v>-5615</v>
      </c>
      <c r="J27" s="10">
        <f>'Monthly forecast and cash'!J23-'Monthly forecast and cash'!J25</f>
        <v>-5210</v>
      </c>
      <c r="K27" s="10">
        <f>'Monthly forecast and cash'!K23-'Monthly forecast and cash'!K25</f>
        <v>-4805</v>
      </c>
      <c r="L27" s="10">
        <f>'Monthly forecast and cash'!L23-'Monthly forecast and cash'!L25</f>
        <v>-4400</v>
      </c>
      <c r="M27" s="10">
        <f>'Monthly forecast and cash'!M23-'Monthly forecast and cash'!M25</f>
        <v>-3995</v>
      </c>
      <c r="N27" s="10">
        <f>'Monthly forecast and cash'!N23-'Monthly forecast and cash'!N25</f>
        <v>-3590</v>
      </c>
      <c r="O27" s="10">
        <f>'Monthly forecast and cash'!O23-'Monthly forecast and cash'!O25</f>
        <v>-3185</v>
      </c>
      <c r="P27" s="10">
        <f>'Monthly forecast and cash'!P23-'Monthly forecast and cash'!P25</f>
        <v>-2780</v>
      </c>
      <c r="Q27" s="10">
        <f>'Monthly forecast and cash'!Q23-'Monthly forecast and cash'!Q25</f>
        <v>-2375</v>
      </c>
      <c r="R27" s="10">
        <f>'Monthly forecast and cash'!R23-'Monthly forecast and cash'!R25</f>
        <v>-1970</v>
      </c>
      <c r="S27" s="10">
        <f>'Monthly forecast and cash'!S23-'Monthly forecast and cash'!S25</f>
        <v>-1565</v>
      </c>
      <c r="T27" s="10">
        <f>'Monthly forecast and cash'!T23-'Monthly forecast and cash'!T25</f>
        <v>-1160</v>
      </c>
      <c r="U27" s="10">
        <f>'Monthly forecast and cash'!U23-'Monthly forecast and cash'!U25</f>
        <v>-755</v>
      </c>
      <c r="V27" s="10">
        <f>'Monthly forecast and cash'!V23-'Monthly forecast and cash'!V25</f>
        <v>-350</v>
      </c>
      <c r="W27" s="10">
        <f>'Monthly forecast and cash'!W23-'Monthly forecast and cash'!W25</f>
        <v>55</v>
      </c>
      <c r="X27" s="10">
        <f>'Monthly forecast and cash'!X23-'Monthly forecast and cash'!X25</f>
        <v>460</v>
      </c>
      <c r="Y27" s="10">
        <f>'Monthly forecast and cash'!Y23-'Monthly forecast and cash'!Y25</f>
        <v>865</v>
      </c>
      <c r="Z27" s="10">
        <f>'Monthly forecast and cash'!Z23-'Monthly forecast and cash'!Z25</f>
        <v>1270</v>
      </c>
    </row>
    <row r="28">
      <c r="A28" t="inlineStr" s="7">
        <is>
          <t xml:space="preserve">Net cash flow</t>
        </is>
      </c>
      <c r="B28" s="10">
        <v>0</v>
      </c>
      <c r="C28" s="10">
        <f>IF('Monthly forecast and cash'!C27="","",'Monthly forecast and cash'!C27)</f>
        <v>-45</v>
      </c>
      <c r="D28" s="10">
        <f>IF('Monthly forecast and cash'!D27="","",'Monthly forecast and cash'!D27)</f>
        <v>360</v>
      </c>
      <c r="E28" s="10">
        <f>IF('Monthly forecast and cash'!E27="","",'Monthly forecast and cash'!E27)</f>
        <v>765</v>
      </c>
      <c r="F28" s="10">
        <f>IF('Monthly forecast and cash'!F27="","",'Monthly forecast and cash'!F27)</f>
        <v>1170</v>
      </c>
      <c r="G28" s="10">
        <f>IF('Monthly forecast and cash'!G27="","",'Monthly forecast and cash'!G27)</f>
        <v>1575</v>
      </c>
      <c r="H28" s="10">
        <f>IF('Monthly forecast and cash'!H27="","",'Monthly forecast and cash'!H27)</f>
        <v>1980</v>
      </c>
      <c r="I28" s="10">
        <f>IF('Monthly forecast and cash'!I27="","",'Monthly forecast and cash'!I27)</f>
        <v>-5615</v>
      </c>
      <c r="J28" s="10">
        <f>IF('Monthly forecast and cash'!J27="","",'Monthly forecast and cash'!J27)</f>
        <v>-5210</v>
      </c>
      <c r="K28" s="10">
        <f>IF('Monthly forecast and cash'!K27="","",'Monthly forecast and cash'!K27)</f>
        <v>-4805</v>
      </c>
      <c r="L28" s="10">
        <f>IF('Monthly forecast and cash'!L27="","",'Monthly forecast and cash'!L27)</f>
        <v>-4400</v>
      </c>
      <c r="M28" s="10">
        <f>IF('Monthly forecast and cash'!M27="","",'Monthly forecast and cash'!M27)</f>
        <v>-3995</v>
      </c>
      <c r="N28" s="10">
        <f>IF('Monthly forecast and cash'!N27="","",'Monthly forecast and cash'!N27)</f>
        <v>-3590</v>
      </c>
      <c r="O28" s="10">
        <f>IF('Monthly forecast and cash'!O27="","",'Monthly forecast and cash'!O27)</f>
        <v>-3185</v>
      </c>
      <c r="P28" s="10">
        <f>IF('Monthly forecast and cash'!P27="","",'Monthly forecast and cash'!P27)</f>
        <v>-2780</v>
      </c>
      <c r="Q28" s="10">
        <f>IF('Monthly forecast and cash'!Q27="","",'Monthly forecast and cash'!Q27)</f>
        <v>-2375</v>
      </c>
      <c r="R28" s="10">
        <f>IF('Monthly forecast and cash'!R27="","",'Monthly forecast and cash'!R27)</f>
        <v>-1970</v>
      </c>
      <c r="S28" s="10">
        <f>IF('Monthly forecast and cash'!S27="","",'Monthly forecast and cash'!S27)</f>
        <v>-1565</v>
      </c>
      <c r="T28" s="10">
        <f>IF('Monthly forecast and cash'!T27="","",'Monthly forecast and cash'!T27)</f>
        <v>-1160</v>
      </c>
      <c r="U28" s="10">
        <f>IF('Monthly forecast and cash'!U27="","",'Monthly forecast and cash'!U27)</f>
        <v>-755</v>
      </c>
      <c r="V28" s="10">
        <f>IF('Monthly forecast and cash'!V27="","",'Monthly forecast and cash'!V27)</f>
        <v>-350</v>
      </c>
      <c r="W28" s="10">
        <f>IF('Monthly forecast and cash'!W27="","",'Monthly forecast and cash'!W27)</f>
        <v>55</v>
      </c>
      <c r="X28" s="10">
        <f>IF('Monthly forecast and cash'!X27="","",'Monthly forecast and cash'!X27)</f>
        <v>460</v>
      </c>
      <c r="Y28" s="10">
        <f>IF('Monthly forecast and cash'!Y27="","",'Monthly forecast and cash'!Y27)</f>
        <v>865</v>
      </c>
      <c r="Z28" s="10">
        <f>IF('Monthly forecast and cash'!Z27="","",'Monthly forecast and cash'!Z27)</f>
        <v>1270</v>
      </c>
    </row>
    <row r="29">
      <c r="A29" t="inlineStr" s="7">
        <is>
          <t xml:space="preserve">Cash balance</t>
        </is>
      </c>
      <c r="B29" s="10">
        <f>IF('Editable assumptions'!B11="","",'Editable assumptions'!B11)</f>
        <v>25000</v>
      </c>
      <c r="C29" s="10">
        <f>'Monthly forecast and cash'!B29+'Monthly forecast and cash'!C28</f>
        <v>24955</v>
      </c>
      <c r="D29" s="10">
        <f>'Monthly forecast and cash'!C29+'Monthly forecast and cash'!D28</f>
        <v>25315</v>
      </c>
      <c r="E29" s="10">
        <f>'Monthly forecast and cash'!D29+'Monthly forecast and cash'!E28</f>
        <v>26080</v>
      </c>
      <c r="F29" s="10">
        <f>'Monthly forecast and cash'!E29+'Monthly forecast and cash'!F28</f>
        <v>27250</v>
      </c>
      <c r="G29" s="10">
        <f>'Monthly forecast and cash'!F29+'Monthly forecast and cash'!G28</f>
        <v>28825</v>
      </c>
      <c r="H29" s="10">
        <f>'Monthly forecast and cash'!G29+'Monthly forecast and cash'!H28</f>
        <v>30805</v>
      </c>
      <c r="I29" s="10">
        <f>'Monthly forecast and cash'!H29+'Monthly forecast and cash'!I28</f>
        <v>25190</v>
      </c>
      <c r="J29" s="10">
        <f>'Monthly forecast and cash'!I29+'Monthly forecast and cash'!J28</f>
        <v>19980</v>
      </c>
      <c r="K29" s="10">
        <f>'Monthly forecast and cash'!J29+'Monthly forecast and cash'!K28</f>
        <v>15175</v>
      </c>
      <c r="L29" s="10">
        <f>'Monthly forecast and cash'!K29+'Monthly forecast and cash'!L28</f>
        <v>10775</v>
      </c>
      <c r="M29" s="10">
        <f>'Monthly forecast and cash'!L29+'Monthly forecast and cash'!M28</f>
        <v>6780</v>
      </c>
      <c r="N29" s="10">
        <f>'Monthly forecast and cash'!M29+'Monthly forecast and cash'!N28</f>
        <v>3190</v>
      </c>
      <c r="O29" s="10">
        <f>'Monthly forecast and cash'!N29+'Monthly forecast and cash'!O28</f>
        <v>5</v>
      </c>
      <c r="P29" s="10">
        <f>'Monthly forecast and cash'!O29+'Monthly forecast and cash'!P28</f>
        <v>-2775</v>
      </c>
      <c r="Q29" s="10">
        <f>'Monthly forecast and cash'!P29+'Monthly forecast and cash'!Q28</f>
        <v>-5150</v>
      </c>
      <c r="R29" s="10">
        <f>'Monthly forecast and cash'!Q29+'Monthly forecast and cash'!R28</f>
        <v>-7120</v>
      </c>
      <c r="S29" s="10">
        <f>'Monthly forecast and cash'!R29+'Monthly forecast and cash'!S28</f>
        <v>-8685</v>
      </c>
      <c r="T29" s="10">
        <f>'Monthly forecast and cash'!S29+'Monthly forecast and cash'!T28</f>
        <v>-9845</v>
      </c>
      <c r="U29" s="10">
        <f>'Monthly forecast and cash'!T29+'Monthly forecast and cash'!U28</f>
        <v>-10600</v>
      </c>
      <c r="V29" s="10">
        <f>'Monthly forecast and cash'!U29+'Monthly forecast and cash'!V28</f>
        <v>-10950</v>
      </c>
      <c r="W29" s="10">
        <f>'Monthly forecast and cash'!V29+'Monthly forecast and cash'!W28</f>
        <v>-10895</v>
      </c>
      <c r="X29" s="10">
        <f>'Monthly forecast and cash'!W29+'Monthly forecast and cash'!X28</f>
        <v>-10435</v>
      </c>
      <c r="Y29" s="10">
        <f>'Monthly forecast and cash'!X29+'Monthly forecast and cash'!Y28</f>
        <v>-9570</v>
      </c>
      <c r="Z29" s="10">
        <f>'Monthly forecast and cash'!Y29+'Monthly forecast and cash'!Z28</f>
        <v>-8300</v>
      </c>
    </row>
    <row r="30">
      <c r="A30" t="inlineStr" s="7">
        <is>
          <t xml:space="preserve">Monthly cash burn</t>
        </is>
      </c>
      <c r="B30" s="10">
        <v>0</v>
      </c>
      <c r="C30" s="10">
        <f>MAX(-'Monthly forecast and cash'!C28,0)</f>
        <v>45</v>
      </c>
      <c r="D30" s="10">
        <f>MAX(-'Monthly forecast and cash'!D28,0)</f>
        <v>0</v>
      </c>
      <c r="E30" s="10">
        <f>MAX(-'Monthly forecast and cash'!E28,0)</f>
        <v>0</v>
      </c>
      <c r="F30" s="10">
        <f>MAX(-'Monthly forecast and cash'!F28,0)</f>
        <v>0</v>
      </c>
      <c r="G30" s="10">
        <f>MAX(-'Monthly forecast and cash'!G28,0)</f>
        <v>0</v>
      </c>
      <c r="H30" s="10">
        <f>MAX(-'Monthly forecast and cash'!H28,0)</f>
        <v>0</v>
      </c>
      <c r="I30" s="10">
        <f>MAX(-'Monthly forecast and cash'!I28,0)</f>
        <v>5615</v>
      </c>
      <c r="J30" s="10">
        <f>MAX(-'Monthly forecast and cash'!J28,0)</f>
        <v>5210</v>
      </c>
      <c r="K30" s="10">
        <f>MAX(-'Monthly forecast and cash'!K28,0)</f>
        <v>4805</v>
      </c>
      <c r="L30" s="10">
        <f>MAX(-'Monthly forecast and cash'!L28,0)</f>
        <v>4400</v>
      </c>
      <c r="M30" s="10">
        <f>MAX(-'Monthly forecast and cash'!M28,0)</f>
        <v>3995</v>
      </c>
      <c r="N30" s="10">
        <f>MAX(-'Monthly forecast and cash'!N28,0)</f>
        <v>3590</v>
      </c>
      <c r="O30" s="10">
        <f>MAX(-'Monthly forecast and cash'!O28,0)</f>
        <v>3185</v>
      </c>
      <c r="P30" s="10">
        <f>MAX(-'Monthly forecast and cash'!P28,0)</f>
        <v>2780</v>
      </c>
      <c r="Q30" s="10">
        <f>MAX(-'Monthly forecast and cash'!Q28,0)</f>
        <v>2375</v>
      </c>
      <c r="R30" s="10">
        <f>MAX(-'Monthly forecast and cash'!R28,0)</f>
        <v>1970</v>
      </c>
      <c r="S30" s="10">
        <f>MAX(-'Monthly forecast and cash'!S28,0)</f>
        <v>1565</v>
      </c>
      <c r="T30" s="10">
        <f>MAX(-'Monthly forecast and cash'!T28,0)</f>
        <v>1160</v>
      </c>
      <c r="U30" s="10">
        <f>MAX(-'Monthly forecast and cash'!U28,0)</f>
        <v>755</v>
      </c>
      <c r="V30" s="10">
        <f>MAX(-'Monthly forecast and cash'!V28,0)</f>
        <v>350</v>
      </c>
      <c r="W30" s="10">
        <f>MAX(-'Monthly forecast and cash'!W28,0)</f>
        <v>0</v>
      </c>
      <c r="X30" s="10">
        <f>MAX(-'Monthly forecast and cash'!X28,0)</f>
        <v>0</v>
      </c>
      <c r="Y30" s="10">
        <f>MAX(-'Monthly forecast and cash'!Y28,0)</f>
        <v>0</v>
      </c>
      <c r="Z30" s="10">
        <f>MAX(-'Monthly forecast and cash'!Z28,0)</f>
        <v>0</v>
      </c>
    </row>
    <row r="31">
      <c r="A31" t="inlineStr" s="7">
        <is>
          <t xml:space="preserve">Paying teams to break even</t>
        </is>
      </c>
      <c r="B31" s="9">
        <v>0</v>
      </c>
      <c r="C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cash'!C21+'Monthly forecast and cash'!C25+'Monthly forecast and cash'!C8*'Unit economics by plan'!H5)/'Unit economics by plan'!I6,1),"")</f>
        <v>6</v>
      </c>
      <c r="D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cash'!D21+'Monthly forecast and cash'!D25+'Monthly forecast and cash'!D8*'Unit economics by plan'!H5)/'Unit economics by plan'!I6,1),"")</f>
        <v>6</v>
      </c>
      <c r="E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cash'!E21+'Monthly forecast and cash'!E25+'Monthly forecast and cash'!E8*'Unit economics by plan'!H5)/'Unit economics by plan'!I6,1),"")</f>
        <v>6</v>
      </c>
      <c r="F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cash'!F21+'Monthly forecast and cash'!F25+'Monthly forecast and cash'!F8*'Unit economics by plan'!H5)/'Unit economics by plan'!I6,1),"")</f>
        <v>6</v>
      </c>
      <c r="G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cash'!G21+'Monthly forecast and cash'!G25+'Monthly forecast and cash'!G8*'Unit economics by plan'!H5)/'Unit economics by plan'!I6,1),"")</f>
        <v>6</v>
      </c>
      <c r="H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cash'!H21+'Monthly forecast and cash'!H25+'Monthly forecast and cash'!H8*'Unit economics by plan'!H5)/'Unit economics by plan'!I6,1),"")</f>
        <v>6</v>
      </c>
      <c r="I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cash'!I21+'Monthly forecast and cash'!I25+'Monthly forecast and cash'!I8*'Unit economics by plan'!H5)/'Unit economics by plan'!I6,1),"")</f>
        <v>105</v>
      </c>
      <c r="J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cash'!J21+'Monthly forecast and cash'!J25+'Monthly forecast and cash'!J8*'Unit economics by plan'!H5)/'Unit economics by plan'!I6,1),"")</f>
        <v>105</v>
      </c>
      <c r="K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cash'!K21+'Monthly forecast and cash'!K25+'Monthly forecast and cash'!K8*'Unit economics by plan'!H5)/'Unit economics by plan'!I6,1),"")</f>
        <v>105</v>
      </c>
      <c r="L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cash'!L21+'Monthly forecast and cash'!L25+'Monthly forecast and cash'!L8*'Unit economics by plan'!H5)/'Unit economics by plan'!I6,1),"")</f>
        <v>105</v>
      </c>
      <c r="M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cash'!M21+'Monthly forecast and cash'!M25+'Monthly forecast and cash'!M8*'Unit economics by plan'!H5)/'Unit economics by plan'!I6,1),"")</f>
        <v>105</v>
      </c>
      <c r="N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cash'!N21+'Monthly forecast and cash'!N25+'Monthly forecast and cash'!N8*'Unit economics by plan'!H5)/'Unit economics by plan'!I6,1),"")</f>
        <v>105</v>
      </c>
      <c r="O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cash'!O21+'Monthly forecast and cash'!O25+'Monthly forecast and cash'!O8*'Unit economics by plan'!H5)/'Unit economics by plan'!I6,1),"")</f>
        <v>105</v>
      </c>
      <c r="P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cash'!P21+'Monthly forecast and cash'!P25+'Monthly forecast and cash'!P8*'Unit economics by plan'!H5)/'Unit economics by plan'!I6,1),"")</f>
        <v>105</v>
      </c>
      <c r="Q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cash'!Q21+'Monthly forecast and cash'!Q25+'Monthly forecast and cash'!Q8*'Unit economics by plan'!H5)/'Unit economics by plan'!I6,1),"")</f>
        <v>105</v>
      </c>
      <c r="R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cash'!R21+'Monthly forecast and cash'!R25+'Monthly forecast and cash'!R8*'Unit economics by plan'!H5)/'Unit economics by plan'!I6,1),"")</f>
        <v>105</v>
      </c>
      <c r="S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cash'!S21+'Monthly forecast and cash'!S25+'Monthly forecast and cash'!S8*'Unit economics by plan'!H5)/'Unit economics by plan'!I6,1),"")</f>
        <v>105</v>
      </c>
      <c r="T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cash'!T21+'Monthly forecast and cash'!T25+'Monthly forecast and cash'!T8*'Unit economics by plan'!H5)/'Unit economics by plan'!I6,1),"")</f>
        <v>105</v>
      </c>
      <c r="U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cash'!U21+'Monthly forecast and cash'!U25+'Monthly forecast and cash'!U8*'Unit economics by plan'!H5)/'Unit economics by plan'!I6,1),"")</f>
        <v>105</v>
      </c>
      <c r="V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cash'!V21+'Monthly forecast and cash'!V25+'Monthly forecast and cash'!V8*'Unit economics by plan'!H5)/'Unit economics by plan'!I6,1),"")</f>
        <v>105</v>
      </c>
      <c r="W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cash'!W21+'Monthly forecast and cash'!W25+'Monthly forecast and cash'!W8*'Unit economics by plan'!H5)/'Unit economics by plan'!I6,1),"")</f>
        <v>105</v>
      </c>
      <c r="X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cash'!X21+'Monthly forecast and cash'!X25+'Monthly forecast and cash'!X8*'Unit economics by plan'!H5)/'Unit economics by plan'!I6,1),"")</f>
        <v>105</v>
      </c>
      <c r="Y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cash'!Y21+'Monthly forecast and cash'!Y25+'Monthly forecast and cash'!Y8*'Unit economics by plan'!H5)/'Unit economics by plan'!I6,1),"")</f>
        <v>105</v>
      </c>
      <c r="Z31" s="9">
        <f>IF(IF(IF(ISERROR('Unit economics by plan'!I6&gt;0),'Unit economics by plan'!I6&gt;0,IF('Unit economics by plan'!I6="","",'Unit economics by plan'!I6&gt;0))="",FALSE,IF(ISERROR('Unit economics by plan'!I6&gt;0),'Unit economics by plan'!I6&gt;0,IF('Unit economics by plan'!I6="","",'Unit economics by plan'!I6&gt;0))),CEILING(('Monthly forecast and cash'!Z21+'Monthly forecast and cash'!Z25+'Monthly forecast and cash'!Z8*'Unit economics by plan'!H5)/'Unit economics by plan'!I6,1),"")</f>
        <v>105</v>
      </c>
    </row>
    <row r="32">
      <c r="A32" t="inlineStr" s="7">
        <is>
          <t xml:space="preserve">Compute hours</t>
        </is>
      </c>
      <c r="B32" s="9">
        <v>0</v>
      </c>
      <c r="C32" s="9">
        <f>'Monthly forecast and cash'!C9*'Editable assumptions'!B7/60</f>
        <v>133.33333333333334</v>
      </c>
      <c r="D32" s="9">
        <f>'Monthly forecast and cash'!D9*'Editable assumptions'!B7/60</f>
        <v>183.33333333333334</v>
      </c>
      <c r="E32" s="9">
        <f>'Monthly forecast and cash'!E9*'Editable assumptions'!B7/60</f>
        <v>233.33333333333334</v>
      </c>
      <c r="F32" s="9">
        <f>'Monthly forecast and cash'!F9*'Editable assumptions'!B7/60</f>
        <v>283.3333333333333</v>
      </c>
      <c r="G32" s="9">
        <f>'Monthly forecast and cash'!G9*'Editable assumptions'!B7/60</f>
        <v>333.3333333333333</v>
      </c>
      <c r="H32" s="9">
        <f>'Monthly forecast and cash'!H9*'Editable assumptions'!B7/60</f>
        <v>383.3333333333333</v>
      </c>
      <c r="I32" s="9">
        <f>'Monthly forecast and cash'!I9*'Editable assumptions'!B7/60</f>
        <v>433.3333333333333</v>
      </c>
      <c r="J32" s="9">
        <f>'Monthly forecast and cash'!J9*'Editable assumptions'!B7/60</f>
        <v>483.3333333333333</v>
      </c>
      <c r="K32" s="9">
        <f>'Monthly forecast and cash'!K9*'Editable assumptions'!B7/60</f>
        <v>533.3333333333334</v>
      </c>
      <c r="L32" s="9">
        <f>'Monthly forecast and cash'!L9*'Editable assumptions'!B7/60</f>
        <v>583.3333333333334</v>
      </c>
      <c r="M32" s="9">
        <f>'Monthly forecast and cash'!M9*'Editable assumptions'!B7/60</f>
        <v>633.3333333333334</v>
      </c>
      <c r="N32" s="9">
        <f>'Monthly forecast and cash'!N9*'Editable assumptions'!B7/60</f>
        <v>683.3333333333334</v>
      </c>
      <c r="O32" s="9">
        <f>'Monthly forecast and cash'!O9*'Editable assumptions'!B7/60</f>
        <v>733.3333333333334</v>
      </c>
      <c r="P32" s="9">
        <f>'Monthly forecast and cash'!P9*'Editable assumptions'!B7/60</f>
        <v>783.3333333333334</v>
      </c>
      <c r="Q32" s="9">
        <f>'Monthly forecast and cash'!Q9*'Editable assumptions'!B7/60</f>
        <v>833.3333333333334</v>
      </c>
      <c r="R32" s="9">
        <f>'Monthly forecast and cash'!R9*'Editable assumptions'!B7/60</f>
        <v>883.3333333333334</v>
      </c>
      <c r="S32" s="9">
        <f>'Monthly forecast and cash'!S9*'Editable assumptions'!B7/60</f>
        <v>933.3333333333334</v>
      </c>
      <c r="T32" s="9">
        <f>'Monthly forecast and cash'!T9*'Editable assumptions'!B7/60</f>
        <v>983.3333333333334</v>
      </c>
      <c r="U32" s="9">
        <f>'Monthly forecast and cash'!U9*'Editable assumptions'!B7/60</f>
        <v>1033.3333333333333</v>
      </c>
      <c r="V32" s="9">
        <f>'Monthly forecast and cash'!V9*'Editable assumptions'!B7/60</f>
        <v>1083.3333333333333</v>
      </c>
      <c r="W32" s="9">
        <f>'Monthly forecast and cash'!W9*'Editable assumptions'!B7/60</f>
        <v>1133.3333333333333</v>
      </c>
      <c r="X32" s="9">
        <f>'Monthly forecast and cash'!X9*'Editable assumptions'!B7/60</f>
        <v>1183.3333333333333</v>
      </c>
      <c r="Y32" s="9">
        <f>'Monthly forecast and cash'!Y9*'Editable assumptions'!B7/60</f>
        <v>1233.3333333333333</v>
      </c>
      <c r="Z32" s="9">
        <f>'Monthly forecast and cash'!Z9*'Editable assumptions'!B7/60</f>
        <v>1283.3333333333333</v>
      </c>
    </row>
    <row r="33">
      <c r="A33" t="inlineStr" s="5">
        <is>
          <t xml:space="preserve">Fully funded month</t>
        </is>
      </c>
      <c r="B33" s="12">
        <v>0</v>
      </c>
      <c r="C33" s="12">
        <f>IF(IF(IF(ISERROR('Model inputs'!B313&gt;0),'Model inputs'!B313&gt;0,IF('Model inputs'!B313="","",'Model inputs'!B313&gt;0))="",FALSE,IF(ISERROR('Model inputs'!B313&gt;0),'Model inputs'!B313&gt;0,IF('Model inputs'!B313="","",'Model inputs'!B313&gt;0))),1,0)</f>
        <v>1</v>
      </c>
      <c r="D33" s="12">
        <f>IF(IF(IF(ISERROR('Model inputs'!B347&gt;0),'Model inputs'!B347&gt;0,IF('Model inputs'!B347="","",'Model inputs'!B347&gt;0))="",FALSE,IF(ISERROR('Model inputs'!B347&gt;0),'Model inputs'!B347&gt;0,IF('Model inputs'!B347="","",'Model inputs'!B347&gt;0))),1,0)</f>
        <v>1</v>
      </c>
      <c r="E33" s="12">
        <f>IF(IF(IF(ISERROR('Model inputs'!B381&gt;0),'Model inputs'!B381&gt;0,IF('Model inputs'!B381="","",'Model inputs'!B381&gt;0))="",FALSE,IF(ISERROR('Model inputs'!B381&gt;0),'Model inputs'!B381&gt;0,IF('Model inputs'!B381="","",'Model inputs'!B381&gt;0))),1,0)</f>
        <v>1</v>
      </c>
      <c r="F33" s="12">
        <f>IF(IF(IF(ISERROR('Model inputs'!B415&gt;0),'Model inputs'!B415&gt;0,IF('Model inputs'!B415="","",'Model inputs'!B415&gt;0))="",FALSE,IF(ISERROR('Model inputs'!B415&gt;0),'Model inputs'!B415&gt;0,IF('Model inputs'!B415="","",'Model inputs'!B415&gt;0))),1,0)</f>
        <v>1</v>
      </c>
      <c r="G33" s="12">
        <f>IF(IF(IF(ISERROR('Model inputs'!B449&gt;0),'Model inputs'!B449&gt;0,IF('Model inputs'!B449="","",'Model inputs'!B449&gt;0))="",FALSE,IF(ISERROR('Model inputs'!B449&gt;0),'Model inputs'!B449&gt;0,IF('Model inputs'!B449="","",'Model inputs'!B449&gt;0))),1,0)</f>
        <v>1</v>
      </c>
      <c r="H33" s="12">
        <f>IF(IF(IF(ISERROR('Model inputs'!B483&gt;0),'Model inputs'!B483&gt;0,IF('Model inputs'!B483="","",'Model inputs'!B483&gt;0))="",FALSE,IF(ISERROR('Model inputs'!B483&gt;0),'Model inputs'!B483&gt;0,IF('Model inputs'!B483="","",'Model inputs'!B483&gt;0))),1,0)</f>
        <v>1</v>
      </c>
      <c r="I33" s="12">
        <f>IF(IF(IF(ISERROR('Model inputs'!B517&gt;0),'Model inputs'!B517&gt;0,IF('Model inputs'!B517="","",'Model inputs'!B517&gt;0))="",FALSE,IF(ISERROR('Model inputs'!B517&gt;0),'Model inputs'!B517&gt;0,IF('Model inputs'!B517="","",'Model inputs'!B517&gt;0))),1,0)</f>
        <v>1</v>
      </c>
      <c r="J33" s="12">
        <f>IF(IF(IF(ISERROR('Model inputs'!B551&gt;0),'Model inputs'!B551&gt;0,IF('Model inputs'!B551="","",'Model inputs'!B551&gt;0))="",FALSE,IF(ISERROR('Model inputs'!B551&gt;0),'Model inputs'!B551&gt;0,IF('Model inputs'!B551="","",'Model inputs'!B551&gt;0))),1,0)</f>
        <v>1</v>
      </c>
      <c r="K33" s="12">
        <f>IF(IF(IF(ISERROR('Model inputs'!B585&gt;0),'Model inputs'!B585&gt;0,IF('Model inputs'!B585="","",'Model inputs'!B585&gt;0))="",FALSE,IF(ISERROR('Model inputs'!B585&gt;0),'Model inputs'!B585&gt;0,IF('Model inputs'!B585="","",'Model inputs'!B585&gt;0))),1,0)</f>
        <v>1</v>
      </c>
      <c r="L33" s="12">
        <f>IF(IF(IF(ISERROR('Model inputs'!B619&gt;0),'Model inputs'!B619&gt;0,IF('Model inputs'!B619="","",'Model inputs'!B619&gt;0))="",FALSE,IF(ISERROR('Model inputs'!B619&gt;0),'Model inputs'!B619&gt;0,IF('Model inputs'!B619="","",'Model inputs'!B619&gt;0))),1,0)</f>
        <v>1</v>
      </c>
      <c r="M33" s="12">
        <f>IF(IF(IF(ISERROR('Model inputs'!B653&gt;0),'Model inputs'!B653&gt;0,IF('Model inputs'!B653="","",'Model inputs'!B653&gt;0))="",FALSE,IF(ISERROR('Model inputs'!B653&gt;0),'Model inputs'!B653&gt;0,IF('Model inputs'!B653="","",'Model inputs'!B653&gt;0))),1,0)</f>
        <v>1</v>
      </c>
      <c r="N33" s="12">
        <f>IF(IF(IF(ISERROR('Model inputs'!B687&gt;0),'Model inputs'!B687&gt;0,IF('Model inputs'!B687="","",'Model inputs'!B687&gt;0))="",FALSE,IF(ISERROR('Model inputs'!B687&gt;0),'Model inputs'!B687&gt;0,IF('Model inputs'!B687="","",'Model inputs'!B687&gt;0))),1,0)</f>
        <v>1</v>
      </c>
      <c r="O33" s="12">
        <f>IF(IF(IF(ISERROR('Model inputs'!B721&gt;0),'Model inputs'!B721&gt;0,IF('Model inputs'!B721="","",'Model inputs'!B721&gt;0))="",FALSE,IF(ISERROR('Model inputs'!B721&gt;0),'Model inputs'!B721&gt;0,IF('Model inputs'!B721="","",'Model inputs'!B721&gt;0))),1,0)</f>
        <v>1</v>
      </c>
      <c r="P33" s="12">
        <f>IF(IF(IF(ISERROR('Model inputs'!B755&gt;0),'Model inputs'!B755&gt;0,IF('Model inputs'!B755="","",'Model inputs'!B755&gt;0))="",FALSE,IF(ISERROR('Model inputs'!B755&gt;0),'Model inputs'!B755&gt;0,IF('Model inputs'!B755="","",'Model inputs'!B755&gt;0))),1,0)</f>
        <v>0</v>
      </c>
      <c r="Q33" s="12">
        <f>IF(IF(IF(ISERROR('Model inputs'!B789&gt;0),'Model inputs'!B789&gt;0,IF('Model inputs'!B789="","",'Model inputs'!B789&gt;0))="",FALSE,IF(ISERROR('Model inputs'!B789&gt;0),'Model inputs'!B789&gt;0,IF('Model inputs'!B789="","",'Model inputs'!B789&gt;0))),1,0)</f>
        <v>0</v>
      </c>
      <c r="R33" s="12">
        <f>IF(IF(IF(ISERROR('Model inputs'!B823&gt;0),'Model inputs'!B823&gt;0,IF('Model inputs'!B823="","",'Model inputs'!B823&gt;0))="",FALSE,IF(ISERROR('Model inputs'!B823&gt;0),'Model inputs'!B823&gt;0,IF('Model inputs'!B823="","",'Model inputs'!B823&gt;0))),1,0)</f>
        <v>0</v>
      </c>
      <c r="S33" s="12">
        <f>IF(IF(IF(ISERROR('Model inputs'!B857&gt;0),'Model inputs'!B857&gt;0,IF('Model inputs'!B857="","",'Model inputs'!B857&gt;0))="",FALSE,IF(ISERROR('Model inputs'!B857&gt;0),'Model inputs'!B857&gt;0,IF('Model inputs'!B857="","",'Model inputs'!B857&gt;0))),1,0)</f>
        <v>0</v>
      </c>
      <c r="T33" s="12">
        <f>IF(IF(IF(ISERROR('Model inputs'!B891&gt;0),'Model inputs'!B891&gt;0,IF('Model inputs'!B891="","",'Model inputs'!B891&gt;0))="",FALSE,IF(ISERROR('Model inputs'!B891&gt;0),'Model inputs'!B891&gt;0,IF('Model inputs'!B891="","",'Model inputs'!B891&gt;0))),1,0)</f>
        <v>0</v>
      </c>
      <c r="U33" s="12">
        <f>IF(IF(IF(ISERROR('Model inputs'!B925&gt;0),'Model inputs'!B925&gt;0,IF('Model inputs'!B925="","",'Model inputs'!B925&gt;0))="",FALSE,IF(ISERROR('Model inputs'!B925&gt;0),'Model inputs'!B925&gt;0,IF('Model inputs'!B925="","",'Model inputs'!B925&gt;0))),1,0)</f>
        <v>0</v>
      </c>
      <c r="V33" s="12">
        <f>IF(IF(IF(ISERROR('Model inputs'!B959&gt;0),'Model inputs'!B959&gt;0,IF('Model inputs'!B959="","",'Model inputs'!B959&gt;0))="",FALSE,IF(ISERROR('Model inputs'!B959&gt;0),'Model inputs'!B959&gt;0,IF('Model inputs'!B959="","",'Model inputs'!B959&gt;0))),1,0)</f>
        <v>0</v>
      </c>
      <c r="W33" s="12">
        <f>IF(IF(IF(ISERROR('Model inputs'!B993&gt;0),'Model inputs'!B993&gt;0,IF('Model inputs'!B993="","",'Model inputs'!B993&gt;0))="",FALSE,IF(ISERROR('Model inputs'!B993&gt;0),'Model inputs'!B993&gt;0,IF('Model inputs'!B993="","",'Model inputs'!B993&gt;0))),1,0)</f>
        <v>0</v>
      </c>
      <c r="X33" s="12">
        <f>IF(IF(IF(ISERROR('Model inputs'!B1027&gt;0),'Model inputs'!B1027&gt;0,IF('Model inputs'!B1027="","",'Model inputs'!B1027&gt;0))="",FALSE,IF(ISERROR('Model inputs'!B1027&gt;0),'Model inputs'!B1027&gt;0,IF('Model inputs'!B1027="","",'Model inputs'!B1027&gt;0))),1,0)</f>
        <v>0</v>
      </c>
      <c r="Y33" s="12">
        <f>IF(IF(IF(ISERROR('Model inputs'!B1061&gt;0),'Model inputs'!B1061&gt;0,IF('Model inputs'!B1061="","",'Model inputs'!B1061&gt;0))="",FALSE,IF(ISERROR('Model inputs'!B1061&gt;0),'Model inputs'!B1061&gt;0,IF('Model inputs'!B1061="","",'Model inputs'!B1061&gt;0))),1,0)</f>
        <v>0</v>
      </c>
      <c r="Z33" s="12">
        <f>IF(IF(IF(ISERROR('Model inputs'!B1095&gt;0),'Model inputs'!B1095&gt;0,IF('Model inputs'!B1095="","",'Model inputs'!B1095&gt;0))="",FALSE,IF(ISERROR('Model inputs'!B1095&gt;0),'Model inputs'!B1095&gt;0,IF('Model inputs'!B1095="","",'Model inputs'!B1095&gt;0))),1,0)</f>
        <v>0</v>
      </c>
    </row>
  </sheetData>
  <mergeCells count="1">
    <mergeCell ref="A1:Z1"/>
  </mergeCells>
</worksheet>
</file>

<file path=xl/worksheets/sheet4.xml><?xml version="1.0" encoding="utf-8"?>
<worksheet xmlns="http://schemas.openxmlformats.org/spreadsheetml/2006/main">
  <dimension ref="A1:B9"/>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Runway summary</t>
        </is>
      </c>
    </row>
    <row r="2" ht="20" customHeight="1">
      <c r="A2" t="inlineStr" s="2">
        <is>
          <t xml:space="preserve">AgentBisect — Financial Model · Main Scenario</t>
        </is>
      </c>
    </row>
    <row r="4" ht="22" customHeight="1">
      <c r="A4" t="inlineStr" s="3">
        <is>
          <t xml:space="preserve">Variable / dimension</t>
        </is>
      </c>
      <c r="B4" t="inlineStr" s="4">
        <is>
          <t xml:space="preserve">Value</t>
        </is>
      </c>
    </row>
    <row r="5">
      <c r="A5" t="inlineStr" s="5">
        <is>
          <t xml:space="preserve">Initial runway months</t>
        </is>
      </c>
      <c r="B5" s="12">
        <f>SUM('Model inputs'!B1102,'Model inputs'!B1103,'Model inputs'!B1104)</f>
        <v>13</v>
      </c>
    </row>
    <row r="6">
      <c r="A6" t="inlineStr" s="7">
        <is>
          <t xml:space="preserve">First cash shortfall month</t>
        </is>
      </c>
      <c r="B6" s="11">
        <f>IF(IF(IF(ISERROR('Runway summary'!B5&lt;'Editable assumptions'!B15),'Runway summary'!B5&lt;'Editable assumptions'!B15,IF(OR('Runway summary'!B5="",'Editable assumptions'!B15=""),"",'Runway summary'!B5&lt;'Editable assumptions'!B15))="",FALSE,IF(ISERROR('Runway summary'!B5&lt;'Editable assumptions'!B15),'Runway summary'!B5&lt;'Editable assumptions'!B15,IF(OR('Runway summary'!B5="",'Editable assumptions'!B15=""),"",'Runway summary'!B5&lt;'Editable assumptions'!B15))),EDATE('Editable assumptions'!B16,'Runway summary'!B5*1),"")</f>
        <v>46692</v>
      </c>
    </row>
    <row r="7">
      <c r="A7" t="inlineStr" s="7">
        <is>
          <t xml:space="preserve">Cash after forecast</t>
        </is>
      </c>
      <c r="B7" s="10">
        <f>IF('Model inputs'!B1138=0,"",SUM('Model inputs'!B1105,'Model inputs'!B1106,'Model inputs'!B1107,'Model inputs'!B1108,'Model inputs'!B1109,'Model inputs'!B1110,'Model inputs'!B1111,'Model inputs'!B1112,'Model inputs'!B1113,'Model inputs'!B1114,'Model inputs'!B1115,'Model inputs'!B1116,'Model inputs'!B1117,'Model inputs'!B1118,'Model inputs'!B1119,'Model inputs'!B1120,'Model inputs'!B1121,'Model inputs'!B1122,'Model inputs'!B1123,'Model inputs'!B1124,'Model inputs'!B1125,'Model inputs'!B1126,'Model inputs'!B1127,'Model inputs'!B1128,'Model inputs'!B1129,'Model inputs'!B1130,'Model inputs'!B1131,'Model inputs'!B1132,'Model inputs'!B1133,'Model inputs'!B1134,'Model inputs'!B1135,'Model inputs'!B1136,'Model inputs'!B1137))</f>
        <v>-8300</v>
      </c>
    </row>
    <row r="8">
      <c r="A8" t="inlineStr" s="7">
        <is>
          <t xml:space="preserve">Lowest forecast cash</t>
        </is>
      </c>
      <c r="B8" s="10">
        <f>IF(AND('Model inputs'!B1139="",'Model inputs'!B1140="",'Model inputs'!B1141="",'Model inputs'!B1142="",'Model inputs'!B1143="",'Model inputs'!B1144="",'Model inputs'!B1145="",'Model inputs'!B1146="",'Model inputs'!B1147="",'Model inputs'!B1148="",'Model inputs'!B1149="",'Model inputs'!B1150="",'Model inputs'!B1151="",'Model inputs'!B1152="",'Model inputs'!B1153="",'Model inputs'!B1154="",'Model inputs'!B1155="",'Model inputs'!B1156="",'Model inputs'!B1157="",'Model inputs'!B1158="",'Model inputs'!B1159="",'Model inputs'!B1160="",'Model inputs'!B1161="",'Model inputs'!B1162="",'Model inputs'!B1163="",'Model inputs'!B1164="",'Model inputs'!B1165="",'Model inputs'!B1166="",'Model inputs'!B1167="",'Model inputs'!B1168="",'Model inputs'!B1169="",'Model inputs'!B1170="",'Model inputs'!B1171=""),"",MIN('Model inputs'!B1139,'Model inputs'!B1140,'Model inputs'!B1141,'Model inputs'!B1142,'Model inputs'!B1143,'Model inputs'!B1144,'Model inputs'!B1145,'Model inputs'!B1146,'Model inputs'!B1147,'Model inputs'!B1148,'Model inputs'!B1149,'Model inputs'!B1150,'Model inputs'!B1151,'Model inputs'!B1152,'Model inputs'!B1153,'Model inputs'!B1154,'Model inputs'!B1155,'Model inputs'!B1156,'Model inputs'!B1157,'Model inputs'!B1158,'Model inputs'!B1159,'Model inputs'!B1160,'Model inputs'!B1161,'Model inputs'!B1162,'Model inputs'!B1163,'Model inputs'!B1164,'Model inputs'!B1165,'Model inputs'!B1166,'Model inputs'!B1167,'Model inputs'!B1168,'Model inputs'!B1169,'Model inputs'!B1170,'Model inputs'!B1171))</f>
        <v>-10950</v>
      </c>
    </row>
    <row r="9">
      <c r="A9" t="inlineStr" s="5">
        <is>
          <t xml:space="preserve">Minimum additional funding</t>
        </is>
      </c>
      <c r="B9" s="13">
        <f>MAX(-'Runway summary'!B8,0)</f>
        <v>10950</v>
      </c>
    </row>
  </sheetData>
  <mergeCells count="1">
    <mergeCell ref="A1:B1"/>
  </mergeCells>
</worksheet>
</file>

<file path=xl/worksheets/sheet5.xml><?xml version="1.0" encoding="utf-8"?>
<worksheet xmlns="http://schemas.openxmlformats.org/spreadsheetml/2006/main">
  <dimension ref="A1:K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32" customHeight="1">
      <c r="A1" t="inlineStr" s="1">
        <is>
          <t xml:space="preserve">Usage and overage sensitivity</t>
        </is>
      </c>
    </row>
    <row r="2" ht="20" customHeight="1">
      <c r="A2" t="inlineStr" s="2">
        <is>
          <t xml:space="preserve">AgentBisect — Financial Model · Main Scenario</t>
        </is>
      </c>
    </row>
    <row r="4" ht="22" customHeight="1">
      <c r="A4" t="inlineStr" s="3">
        <is>
          <t xml:space="preserve">Variable / dimension</t>
        </is>
      </c>
      <c r="B4" t="inlineStr" s="4">
        <is>
          <t xml:space="preserve">Sensitivity investigations</t>
        </is>
      </c>
      <c r="C4" t="inlineStr" s="4">
        <is>
          <t xml:space="preserve">Sensitivity overage investigations</t>
        </is>
      </c>
      <c r="D4" t="inlineStr" s="4">
        <is>
          <t xml:space="preserve">Sensitivity monthly revenue</t>
        </is>
      </c>
      <c r="E4" t="inlineStr" s="4">
        <is>
          <t xml:space="preserve">Sensitivity variable cost</t>
        </is>
      </c>
      <c r="F4" t="inlineStr" s="4">
        <is>
          <t xml:space="preserve">Sensitivity contribution</t>
        </is>
      </c>
      <c r="G4" t="inlineStr" s="4">
        <is>
          <t xml:space="preserve">Sensitivity contribution margin</t>
        </is>
      </c>
      <c r="H4" t="inlineStr" s="4">
        <is>
          <t xml:space="preserve">Overage unit contribution</t>
        </is>
      </c>
      <c r="I4" t="inlineStr" s="4">
        <is>
          <t xml:space="preserve">Overage unit margin</t>
        </is>
      </c>
      <c r="J4" t="inlineStr" s="4">
        <is>
          <t xml:space="preserve">Sensitivity teams to break even</t>
        </is>
      </c>
      <c r="K4" t="inlineStr" s="4">
        <is>
          <t xml:space="preserve">Sensitivity compute hours per team</t>
        </is>
      </c>
    </row>
    <row r="5">
      <c r="A5" t="inlineStr" s="5">
        <is>
          <t xml:space="preserve">Allowance fully used — 100</t>
        </is>
      </c>
      <c r="B5" s="12">
        <f>100</f>
        <v>100</v>
      </c>
      <c r="C5" s="12">
        <f>MAX('Usage and overage sensitivity'!B5-'Unit economics by plan'!C6,0)</f>
        <v>0</v>
      </c>
      <c r="D5" s="13">
        <f>'Unit economics by plan'!B6+'Usage and overage sensitivity'!C5*'Unit economics by plan'!E6</f>
        <v>99</v>
      </c>
      <c r="E5" s="13">
        <f>'Usage and overage sensitivity'!B5*('Editable assumptions'!B5+'Editable assumptions'!B6)</f>
        <v>30</v>
      </c>
      <c r="F5" s="13">
        <f>'Usage and overage sensitivity'!D5-'Usage and overage sensitivity'!E5</f>
        <v>69</v>
      </c>
      <c r="G5" s="14">
        <f>IFERROR('Usage and overage sensitivity'!F5/'Usage and overage sensitivity'!D5,"")</f>
        <v>0.696969696969697</v>
      </c>
      <c r="H5" s="6">
        <f>'Unit economics by plan'!E6-'Editable assumptions'!B5-'Editable assumptions'!B6</f>
        <v>0.7</v>
      </c>
      <c r="I5" s="14">
        <f>IFERROR('Usage and overage sensitivity'!H5/'Unit economics by plan'!E6,"")</f>
        <v>0.7</v>
      </c>
      <c r="J5" s="12">
        <f>IF(IF(IF(ISERROR('Usage and overage sensitivity'!F5&gt;0),'Usage and overage sensitivity'!F5&gt;0,IF('Usage and overage sensitivity'!F5="","",'Usage and overage sensitivity'!F5&gt;0))="",FALSE,IF(ISERROR('Usage and overage sensitivity'!F5&gt;0),'Usage and overage sensitivity'!F5&gt;0,IF('Usage and overage sensitivity'!F5="","",'Usage and overage sensitivity'!F5&gt;0))),CEILING(('Editable assumptions'!B9+'Editable assumptions'!B8+'Editable assumptions'!B14*'Unit economics by plan'!H5)/'Usage and overage sensitivity'!F5,1),"")</f>
        <v>123</v>
      </c>
      <c r="K5" s="12">
        <f>'Usage and overage sensitivity'!B5*'Editable assumptions'!B7/60</f>
        <v>16.666666666666668</v>
      </c>
    </row>
    <row r="6">
      <c r="A6" t="inlineStr" s="7">
        <is>
          <t xml:space="preserve">Heavy — 300</t>
        </is>
      </c>
      <c r="B6" s="9">
        <f>300</f>
        <v>300</v>
      </c>
      <c r="C6" s="9">
        <f>MAX('Usage and overage sensitivity'!B6-'Unit economics by plan'!C6,0)</f>
        <v>200</v>
      </c>
      <c r="D6" s="10">
        <f>'Unit economics by plan'!B6+'Usage and overage sensitivity'!C6*'Unit economics by plan'!E6</f>
        <v>299</v>
      </c>
      <c r="E6" s="10">
        <f>'Usage and overage sensitivity'!B6*('Editable assumptions'!B5+'Editable assumptions'!B6)</f>
        <v>90</v>
      </c>
      <c r="F6" s="10">
        <f>'Usage and overage sensitivity'!D6-'Usage and overage sensitivity'!E6</f>
        <v>209</v>
      </c>
      <c r="G6" s="18">
        <f>IFERROR('Usage and overage sensitivity'!F6/'Usage and overage sensitivity'!D6,"")</f>
        <v>0.6989966555183946</v>
      </c>
      <c r="H6" s="8">
        <f>'Unit economics by plan'!E6-'Editable assumptions'!B5-'Editable assumptions'!B6</f>
        <v>0.7</v>
      </c>
      <c r="I6" s="18">
        <f>IFERROR('Usage and overage sensitivity'!H6/'Unit economics by plan'!E6,"")</f>
        <v>0.7</v>
      </c>
      <c r="J6" s="9">
        <f>IF(IF(IF(ISERROR('Usage and overage sensitivity'!F6&gt;0),'Usage and overage sensitivity'!F6&gt;0,IF('Usage and overage sensitivity'!F6="","",'Usage and overage sensitivity'!F6&gt;0))="",FALSE,IF(ISERROR('Usage and overage sensitivity'!F6&gt;0),'Usage and overage sensitivity'!F6&gt;0,IF('Usage and overage sensitivity'!F6="","",'Usage and overage sensitivity'!F6&gt;0))),CEILING(('Editable assumptions'!B9+'Editable assumptions'!B8+'Editable assumptions'!B14*'Unit economics by plan'!H5)/'Usage and overage sensitivity'!F6,1),"")</f>
        <v>41</v>
      </c>
      <c r="K6" s="9">
        <f>'Usage and overage sensitivity'!B6*'Editable assumptions'!B7/60</f>
        <v>50</v>
      </c>
    </row>
    <row r="7">
      <c r="A7" t="inlineStr" s="5">
        <is>
          <t xml:space="preserve">Typical — 60</t>
        </is>
      </c>
      <c r="B7" s="12">
        <f>60</f>
        <v>60</v>
      </c>
      <c r="C7" s="12">
        <f>MAX('Usage and overage sensitivity'!B7-'Unit economics by plan'!C6,0)</f>
        <v>0</v>
      </c>
      <c r="D7" s="13">
        <f>'Unit economics by plan'!B6+'Usage and overage sensitivity'!C7*'Unit economics by plan'!E6</f>
        <v>99</v>
      </c>
      <c r="E7" s="13">
        <f>'Usage and overage sensitivity'!B7*('Editable assumptions'!B5+'Editable assumptions'!B6)</f>
        <v>18</v>
      </c>
      <c r="F7" s="13">
        <f>'Usage and overage sensitivity'!D7-'Usage and overage sensitivity'!E7</f>
        <v>81</v>
      </c>
      <c r="G7" s="14">
        <f>IFERROR('Usage and overage sensitivity'!F7/'Usage and overage sensitivity'!D7,"")</f>
        <v>0.8181818181818182</v>
      </c>
      <c r="H7" s="6">
        <f>'Unit economics by plan'!E6-'Editable assumptions'!B5-'Editable assumptions'!B6</f>
        <v>0.7</v>
      </c>
      <c r="I7" s="14">
        <f>IFERROR('Usage and overage sensitivity'!H7/'Unit economics by plan'!E6,"")</f>
        <v>0.7</v>
      </c>
      <c r="J7" s="12">
        <f>IF(IF(IF(ISERROR('Usage and overage sensitivity'!F7&gt;0),'Usage and overage sensitivity'!F7&gt;0,IF('Usage and overage sensitivity'!F7="","",'Usage and overage sensitivity'!F7&gt;0))="",FALSE,IF(ISERROR('Usage and overage sensitivity'!F7&gt;0),'Usage and overage sensitivity'!F7&gt;0,IF('Usage and overage sensitivity'!F7="","",'Usage and overage sensitivity'!F7&gt;0))),CEILING(('Editable assumptions'!B9+'Editable assumptions'!B8+'Editable assumptions'!B14*'Unit economics by plan'!H5)/'Usage and overage sensitivity'!F7,1),"")</f>
        <v>105</v>
      </c>
      <c r="K7" s="12">
        <f>'Usage and overage sensitivity'!B7*'Editable assumptions'!B7/60</f>
        <v>10</v>
      </c>
    </row>
  </sheetData>
  <mergeCells count="1">
    <mergeCell ref="A1:K1"/>
  </mergeCells>
</worksheet>
</file>

<file path=xl/worksheets/sheet6.xml><?xml version="1.0" encoding="utf-8"?>
<worksheet xmlns="http://schemas.openxmlformats.org/spreadsheetml/2006/main">
  <dimension ref="A1:E10"/>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s>
  <sheetData>
    <row r="1" ht="32" customHeight="1">
      <c r="A1" t="inlineStr" s="1">
        <is>
          <t xml:space="preserve">Month 12 growth scenario comparison</t>
        </is>
      </c>
    </row>
    <row r="2" ht="20" customHeight="1">
      <c r="A2" t="inlineStr" s="2">
        <is>
          <t xml:space="preserve">AgentBisect — Financial Model · Main Scenario</t>
        </is>
      </c>
    </row>
    <row r="4" ht="22" customHeight="1">
      <c r="A4" t="inlineStr" s="3">
        <is>
          <t xml:space="preserve">Variable / dimension</t>
        </is>
      </c>
      <c r="B4" t="inlineStr" s="4">
        <is>
          <t xml:space="preserve">2027-09</t>
        </is>
      </c>
      <c r="C4" t="inlineStr" s="4">
        <is>
          <t xml:space="preserve">2027-09 &gt; AgentBisect — 20 teams at month 12</t>
        </is>
      </c>
      <c r="D4" t="inlineStr" s="4">
        <is>
          <t xml:space="preserve">2027-09 &gt; AgentBisect — 100 teams at month 12</t>
        </is>
      </c>
      <c r="E4" t="inlineStr" s="4">
        <is>
          <t xml:space="preserve">2027-09 &gt; AgentBisect — 300 teams at month 12</t>
        </is>
      </c>
    </row>
    <row r="5">
      <c r="A5" t="inlineStr" s="5">
        <is>
          <t xml:space="preserve">Paying teams</t>
        </is>
      </c>
      <c r="B5" s="19">
        <f>IF(IF(IF(IF(ISERROR('Monthly forecast and cash'!N5=1),'Monthly forecast and cash'!N5=1,IF('Monthly forecast and cash'!N5="","",'Monthly forecast and cash'!N5=1))="",FALSE,IF(ISERROR('Monthly forecast and cash'!N5=1),'Monthly forecast and cash'!N5=1,IF('Monthly forecast and cash'!N5="","",'Monthly forecast and cash'!N5=1))),IF('Editable assumptions'!B12="","",'Editable assumptions'!B12),IF('Monthly forecast and cash'!M7="","",'Monthly forecast and cash'!M7))="",0,IF(IF(IF(ISERROR('Monthly forecast and cash'!N5=1),'Monthly forecast and cash'!N5=1,IF('Monthly forecast and cash'!N5="","",'Monthly forecast and cash'!N5=1))="",FALSE,IF(ISERROR('Monthly forecast and cash'!N5=1),'Monthly forecast and cash'!N5=1,IF('Monthly forecast and cash'!N5="","",'Monthly forecast and cash'!N5=1))),IF('Editable assumptions'!B12="","",'Editable assumptions'!B12),IF('Monthly forecast and cash'!M7="","",'Monthly forecast and cash'!M7)))+'Monthly forecast and cash'!N6</f>
        <v>60</v>
      </c>
      <c r="C5" s="19">
        <f>ROUND('Model inputs'!C65+('Model inputs'!C54-'Model inputs'!C65)*'Model inputs'!X30/12,0)</f>
        <v>20</v>
      </c>
      <c r="D5" s="19">
        <f>ROUND('Model inputs'!C64+('Model inputs'!C53-'Model inputs'!C64)*'Model inputs'!X29/12,0)</f>
        <v>100</v>
      </c>
      <c r="E5" s="19">
        <f>ROUND('Model inputs'!C66+('Model inputs'!C55-'Model inputs'!C66)*'Model inputs'!X31/12,0)</f>
        <v>300</v>
      </c>
    </row>
    <row r="6">
      <c r="A6" t="inlineStr" s="7">
        <is>
          <t xml:space="preserve">Revenue</t>
        </is>
      </c>
      <c r="B6" s="10">
        <f>SUM('Monthly forecast and cash'!N13,'Monthly forecast and cash'!N14)</f>
        <v>5940</v>
      </c>
      <c r="C6" s="10">
        <f>SUM('Model inputs'!X74,'Model inputs'!X75)</f>
        <v>1980</v>
      </c>
      <c r="D6" s="10">
        <f>SUM('Model inputs'!X71,'Model inputs'!X72)</f>
        <v>9900</v>
      </c>
      <c r="E6" s="10">
        <f>SUM('Model inputs'!X77,'Model inputs'!X78)</f>
        <v>29700</v>
      </c>
    </row>
    <row r="7">
      <c r="A7" t="inlineStr" s="7">
        <is>
          <t xml:space="preserve">Gross margin</t>
        </is>
      </c>
      <c r="B7" s="18">
        <f>IFERROR('Monthly forecast and cash'!N23/'Month 12 growth scenario compar'!B6,"")</f>
        <v>0.7424242424242424</v>
      </c>
      <c r="C7" s="18">
        <f>IFERROR('Model inputs'!X49/'Month 12 growth scenario compar'!C6,"")</f>
        <v>0.5909090909090909</v>
      </c>
      <c r="D7" s="18">
        <f>IFERROR('Model inputs'!X48/'Month 12 growth scenario compar'!D6,"")</f>
        <v>0.7727272727272727</v>
      </c>
      <c r="E7" s="18">
        <f>IFERROR('Model inputs'!X50/'Month 12 growth scenario compar'!E6,"")</f>
        <v>0.803030303030303</v>
      </c>
    </row>
    <row r="8">
      <c r="A8" t="inlineStr" s="7">
        <is>
          <t xml:space="preserve">Founder pay</t>
        </is>
      </c>
      <c r="B8" s="10">
        <f>SUM('Monthly forecast and cash'!N26)</f>
        <v>8000</v>
      </c>
      <c r="C8" s="10">
        <f>SUM('Model inputs'!X41)</f>
        <v>8000</v>
      </c>
      <c r="D8" s="10">
        <f>SUM('Model inputs'!X39)</f>
        <v>8000</v>
      </c>
      <c r="E8" s="10">
        <f>SUM('Model inputs'!X43)</f>
        <v>8000</v>
      </c>
    </row>
    <row r="9">
      <c r="A9" t="inlineStr" s="7">
        <is>
          <t xml:space="preserve">Operating profit</t>
        </is>
      </c>
      <c r="B9" s="10">
        <f>'Monthly forecast and cash'!N23-'Month 12 growth scenario compar'!B8</f>
        <v>-3590</v>
      </c>
      <c r="C9" s="10">
        <f>'Model inputs'!X49-'Month 12 growth scenario compar'!C8</f>
        <v>-6830</v>
      </c>
      <c r="D9" s="10">
        <f>'Model inputs'!X48-'Month 12 growth scenario compar'!D8</f>
        <v>-350</v>
      </c>
      <c r="E9" s="10">
        <f>'Model inputs'!X50-'Month 12 growth scenario compar'!E8</f>
        <v>15850</v>
      </c>
    </row>
    <row r="10">
      <c r="A10" t="inlineStr" s="5">
        <is>
          <t xml:space="preserve">Cash balance</t>
        </is>
      </c>
      <c r="B10" s="13">
        <f>'Monthly forecast and cash'!M29+'Monthly forecast and cash'!N28</f>
        <v>3190</v>
      </c>
      <c r="C10" s="13">
        <f>'Model inputs'!W14+'Model inputs'!X58</f>
        <v>-17870</v>
      </c>
      <c r="D10" s="13">
        <f>'Model inputs'!W13+'Model inputs'!X57</f>
        <v>24250</v>
      </c>
      <c r="E10" s="13">
        <f>'Model inputs'!W15+'Model inputs'!X59</f>
        <v>129550</v>
      </c>
    </row>
  </sheetData>
  <mergeCells count="1">
    <mergeCell ref="A1:E1"/>
  </mergeCells>
</worksheet>
</file>

<file path=xl/worksheets/sheet7.xml><?xml version="1.0" encoding="utf-8"?>
<worksheet xmlns="http://schemas.openxmlformats.org/spreadsheetml/2006/main">
  <dimension ref="A1:AJ1987"/>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20">
        <is>
          <t xml:space="preserve">Variables</t>
        </is>
      </c>
    </row>
    <row r="5" ht="22" customHeight="1">
      <c r="A5" t="inlineStr" s="3">
        <is>
          <t xml:space="preserve">Variable / segment</t>
        </is>
      </c>
      <c r="B5" t="inlineStr" s="4">
        <is>
          <t xml:space="preserve">Value</t>
        </is>
      </c>
      <c r="C5" t="inlineStr" s="4">
        <is>
          <t xml:space="preserve">Value</t>
        </is>
      </c>
      <c r="D5" t="inlineStr" s="15">
        <is>
          <t xml:space="preserve">2026-01</t>
        </is>
      </c>
      <c r="E5" t="inlineStr" s="4">
        <is>
          <t xml:space="preserve">2026-02</t>
        </is>
      </c>
      <c r="F5" t="inlineStr" s="4">
        <is>
          <t xml:space="preserve">2026-03</t>
        </is>
      </c>
      <c r="G5" t="inlineStr" s="15">
        <is>
          <t xml:space="preserve">2026-04</t>
        </is>
      </c>
      <c r="H5" t="inlineStr" s="4">
        <is>
          <t xml:space="preserve">2026-05</t>
        </is>
      </c>
      <c r="I5" t="inlineStr" s="4">
        <is>
          <t xml:space="preserve">2026-06</t>
        </is>
      </c>
      <c r="J5" t="inlineStr" s="15">
        <is>
          <t xml:space="preserve">2026-07</t>
        </is>
      </c>
      <c r="K5" t="inlineStr" s="4">
        <is>
          <t xml:space="preserve">2026-08</t>
        </is>
      </c>
      <c r="L5" t="inlineStr" s="4">
        <is>
          <t xml:space="preserve">2026-09</t>
        </is>
      </c>
      <c r="M5" t="inlineStr" s="15">
        <is>
          <t xml:space="preserve">2026-10</t>
        </is>
      </c>
      <c r="N5" t="inlineStr" s="4">
        <is>
          <t xml:space="preserve">2026-11</t>
        </is>
      </c>
      <c r="O5" t="inlineStr" s="4">
        <is>
          <t xml:space="preserve">2026-12</t>
        </is>
      </c>
      <c r="P5" t="inlineStr" s="15">
        <is>
          <t xml:space="preserve">2027-01</t>
        </is>
      </c>
      <c r="Q5" t="inlineStr" s="4">
        <is>
          <t xml:space="preserve">2027-02</t>
        </is>
      </c>
      <c r="R5" t="inlineStr" s="4">
        <is>
          <t xml:space="preserve">2027-03</t>
        </is>
      </c>
      <c r="S5" t="inlineStr" s="15">
        <is>
          <t xml:space="preserve">2027-04</t>
        </is>
      </c>
      <c r="T5" t="inlineStr" s="4">
        <is>
          <t xml:space="preserve">2027-05</t>
        </is>
      </c>
      <c r="U5" t="inlineStr" s="4">
        <is>
          <t xml:space="preserve">2027-06</t>
        </is>
      </c>
      <c r="V5" t="inlineStr" s="15">
        <is>
          <t xml:space="preserve">2027-07</t>
        </is>
      </c>
      <c r="W5" t="inlineStr" s="4">
        <is>
          <t xml:space="preserve">2027-08</t>
        </is>
      </c>
      <c r="X5" t="inlineStr" s="4">
        <is>
          <t xml:space="preserve">2027-09</t>
        </is>
      </c>
      <c r="Y5" t="inlineStr" s="15">
        <is>
          <t xml:space="preserve">2027-10</t>
        </is>
      </c>
      <c r="Z5" t="inlineStr" s="4">
        <is>
          <t xml:space="preserve">2027-11</t>
        </is>
      </c>
      <c r="AA5" t="inlineStr" s="4">
        <is>
          <t xml:space="preserve">2027-12</t>
        </is>
      </c>
      <c r="AB5" t="inlineStr" s="15">
        <is>
          <t xml:space="preserve">2028-01</t>
        </is>
      </c>
      <c r="AC5" t="inlineStr" s="4">
        <is>
          <t xml:space="preserve">2028-02</t>
        </is>
      </c>
      <c r="AD5" t="inlineStr" s="4">
        <is>
          <t xml:space="preserve">2028-03</t>
        </is>
      </c>
      <c r="AE5" t="inlineStr" s="15">
        <is>
          <t xml:space="preserve">2028-04</t>
        </is>
      </c>
      <c r="AF5" t="inlineStr" s="4">
        <is>
          <t xml:space="preserve">2028-05</t>
        </is>
      </c>
      <c r="AG5" t="inlineStr" s="4">
        <is>
          <t xml:space="preserve">2028-06</t>
        </is>
      </c>
      <c r="AH5" t="inlineStr" s="15">
        <is>
          <t xml:space="preserve">2028-07</t>
        </is>
      </c>
      <c r="AI5" t="inlineStr" s="4">
        <is>
          <t xml:space="preserve">2028-08</t>
        </is>
      </c>
      <c r="AJ5" t="inlineStr" s="4">
        <is>
          <t xml:space="preserve">2028-09</t>
        </is>
      </c>
    </row>
    <row r="6">
      <c r="A6" t="inlineStr" s="21">
        <is>
          <t xml:space="preserve">Average investigations</t>
        </is>
      </c>
      <c r="B6" s="12">
        <v>0</v>
      </c>
    </row>
    <row r="7" outlineLevel="1">
      <c r="A7" t="inlineStr" s="22">
        <is>
          <t xml:space="preserve">Average investigations &gt; Free</t>
        </is>
      </c>
      <c r="B7" s="9">
        <f>'Unit economics by plan'!D5</f>
        <v>10</v>
      </c>
    </row>
    <row r="8" outlineLevel="1">
      <c r="A8" t="inlineStr" s="22">
        <is>
          <t xml:space="preserve">Average investigations &gt; Team</t>
        </is>
      </c>
      <c r="B8" s="9">
        <f>'Unit economics by plan'!D6</f>
        <v>60</v>
      </c>
    </row>
    <row r="9">
      <c r="A9" t="inlineStr" s="21">
        <is>
          <t xml:space="preserve">Average investigations</t>
        </is>
      </c>
      <c r="C9" s="12">
        <v>0</v>
      </c>
    </row>
    <row r="10" outlineLevel="1">
      <c r="A10" t="inlineStr" s="22">
        <is>
          <t xml:space="preserve">Average investigations &gt; Free</t>
        </is>
      </c>
      <c r="C10" s="9">
        <f>'Unit economics by plan'!D5</f>
        <v>10</v>
      </c>
    </row>
    <row r="11" outlineLevel="1">
      <c r="A11" t="inlineStr" s="22">
        <is>
          <t xml:space="preserve">Average investigations &gt; Team</t>
        </is>
      </c>
      <c r="C11" s="9">
        <f>'Unit economics by plan'!D6</f>
        <v>60</v>
      </c>
    </row>
    <row r="12">
      <c r="A12" t="inlineStr" s="21">
        <is>
          <t xml:space="preserve">Cash balance · Monthly forecast and cash · Main Scenario</t>
        </is>
      </c>
      <c r="D12" s="10">
        <v>0</v>
      </c>
      <c r="E12" s="10">
        <v>0</v>
      </c>
      <c r="F12" s="10">
        <v>0</v>
      </c>
      <c r="G12" s="10">
        <v>0</v>
      </c>
      <c r="H12" s="10">
        <v>0</v>
      </c>
      <c r="I12" s="10">
        <v>0</v>
      </c>
      <c r="J12" s="10">
        <v>0</v>
      </c>
      <c r="K12" s="10">
        <v>0</v>
      </c>
      <c r="L12" s="10">
        <f>IF('Model inputs'!C85="","",'Model inputs'!C85)</f>
        <v>25000</v>
      </c>
      <c r="M12" s="10">
        <f>'Model inputs'!L12+'Model inputs'!M56</f>
        <v>24955</v>
      </c>
      <c r="N12" s="10">
        <f>'Model inputs'!M12+'Model inputs'!N56</f>
        <v>25315</v>
      </c>
      <c r="O12" s="10">
        <f>'Model inputs'!N12+'Model inputs'!O56</f>
        <v>26080</v>
      </c>
      <c r="P12" s="10">
        <f>'Model inputs'!O12+'Model inputs'!P56</f>
        <v>27250</v>
      </c>
      <c r="Q12" s="10">
        <f>'Model inputs'!P12+'Model inputs'!Q56</f>
        <v>28825</v>
      </c>
      <c r="R12" s="10">
        <f>'Model inputs'!Q12+'Model inputs'!R56</f>
        <v>30805</v>
      </c>
      <c r="S12" s="10">
        <f>'Model inputs'!R12+'Model inputs'!S56</f>
        <v>25190</v>
      </c>
      <c r="T12" s="10">
        <f>'Model inputs'!S12+'Model inputs'!T56</f>
        <v>19980</v>
      </c>
      <c r="U12" s="10">
        <f>'Model inputs'!T12+'Model inputs'!U56</f>
        <v>15175</v>
      </c>
      <c r="V12" s="10">
        <f>'Model inputs'!U12+'Model inputs'!V56</f>
        <v>10775</v>
      </c>
      <c r="W12" s="10">
        <f>'Model inputs'!V12+'Model inputs'!W56</f>
        <v>6780</v>
      </c>
      <c r="X12" s="10">
        <f>'Model inputs'!W12+'Model inputs'!X56</f>
        <v>3190</v>
      </c>
      <c r="Y12" s="10">
        <f>'Model inputs'!X12+'Model inputs'!Y56</f>
        <v>5</v>
      </c>
      <c r="Z12" s="10">
        <f>'Model inputs'!Y12+'Model inputs'!Z56</f>
        <v>-2775</v>
      </c>
      <c r="AA12" s="10">
        <f>'Model inputs'!Z12+'Model inputs'!AA56</f>
        <v>-5150</v>
      </c>
      <c r="AB12" s="10">
        <f>'Model inputs'!AA12+'Model inputs'!AB56</f>
        <v>-7120</v>
      </c>
      <c r="AC12" s="10">
        <f>'Model inputs'!AB12+'Model inputs'!AC56</f>
        <v>-8685</v>
      </c>
      <c r="AD12" s="10">
        <f>'Model inputs'!AC12+'Model inputs'!AD56</f>
        <v>-9845</v>
      </c>
      <c r="AE12" s="10">
        <f>'Model inputs'!AD12+'Model inputs'!AE56</f>
        <v>-10600</v>
      </c>
      <c r="AF12" s="10">
        <f>'Model inputs'!AE12+'Model inputs'!AF56</f>
        <v>-10950</v>
      </c>
      <c r="AG12" s="10">
        <f>'Model inputs'!AF12+'Model inputs'!AG56</f>
        <v>-10895</v>
      </c>
      <c r="AH12" s="10">
        <f>'Model inputs'!AG12+'Model inputs'!AH56</f>
        <v>-10435</v>
      </c>
      <c r="AI12" s="10">
        <f>'Model inputs'!AH12+'Model inputs'!AI56</f>
        <v>-9570</v>
      </c>
      <c r="AJ12" s="10">
        <f>'Model inputs'!AI12+'Model inputs'!AJ56</f>
        <v>-8300</v>
      </c>
    </row>
    <row r="13">
      <c r="A13" t="inlineStr" s="21">
        <is>
          <t xml:space="preserve">Cash balance · AgentBisect — 100 teams at month 12</t>
        </is>
      </c>
      <c r="L13" s="10">
        <f>IF('Model inputs'!C162="","",'Model inputs'!C162)</f>
        <v>25000</v>
      </c>
      <c r="M13" s="10">
        <f>'Model inputs'!L13+'Model inputs'!M57</f>
        <v>25198</v>
      </c>
      <c r="N13" s="10">
        <f>'Model inputs'!M13+'Model inputs'!N57</f>
        <v>26125</v>
      </c>
      <c r="O13" s="10">
        <f>'Model inputs'!N13+'Model inputs'!O57</f>
        <v>27700</v>
      </c>
      <c r="P13" s="10">
        <f>'Model inputs'!O13+'Model inputs'!P57</f>
        <v>29923</v>
      </c>
      <c r="Q13" s="10">
        <f>'Model inputs'!P13+'Model inputs'!Q57</f>
        <v>32875</v>
      </c>
      <c r="R13" s="10">
        <f>'Model inputs'!Q13+'Model inputs'!R57</f>
        <v>36475</v>
      </c>
      <c r="S13" s="10">
        <f>'Model inputs'!R13+'Model inputs'!S57</f>
        <v>32723</v>
      </c>
      <c r="T13" s="10">
        <f>'Model inputs'!S13+'Model inputs'!T57</f>
        <v>29700</v>
      </c>
      <c r="U13" s="10">
        <f>'Model inputs'!T13+'Model inputs'!U57</f>
        <v>27325</v>
      </c>
      <c r="V13" s="10">
        <f>'Model inputs'!U13+'Model inputs'!V57</f>
        <v>25598</v>
      </c>
      <c r="W13" s="10">
        <f>'Model inputs'!V13+'Model inputs'!W57</f>
        <v>24600</v>
      </c>
      <c r="X13" s="10">
        <f>'Model inputs'!W13+'Model inputs'!X57</f>
        <v>24250</v>
      </c>
    </row>
    <row r="14">
      <c r="A14" t="inlineStr" s="21">
        <is>
          <t xml:space="preserve">Cash balance · AgentBisect — 20 teams at month 12</t>
        </is>
      </c>
      <c r="L14" s="10">
        <f>IF('Model inputs'!C163="","",'Model inputs'!C163)</f>
        <v>25000</v>
      </c>
      <c r="M14" s="10">
        <f>'Model inputs'!L14+'Model inputs'!M58</f>
        <v>24712</v>
      </c>
      <c r="N14" s="10">
        <f>'Model inputs'!M14+'Model inputs'!N58</f>
        <v>24505</v>
      </c>
      <c r="O14" s="10">
        <f>'Model inputs'!N14+'Model inputs'!O58</f>
        <v>24460</v>
      </c>
      <c r="P14" s="10">
        <f>'Model inputs'!O14+'Model inputs'!P58</f>
        <v>24577</v>
      </c>
      <c r="Q14" s="10">
        <f>'Model inputs'!P14+'Model inputs'!Q58</f>
        <v>24775</v>
      </c>
      <c r="R14" s="10">
        <f>'Model inputs'!Q14+'Model inputs'!R58</f>
        <v>25135</v>
      </c>
      <c r="S14" s="10">
        <f>'Model inputs'!R14+'Model inputs'!S58</f>
        <v>17657</v>
      </c>
      <c r="T14" s="10">
        <f>'Model inputs'!S14+'Model inputs'!T58</f>
        <v>10260</v>
      </c>
      <c r="U14" s="10">
        <f>'Model inputs'!T14+'Model inputs'!U58</f>
        <v>3025</v>
      </c>
      <c r="V14" s="10">
        <f>'Model inputs'!U14+'Model inputs'!V58</f>
        <v>-4048</v>
      </c>
      <c r="W14" s="10">
        <f>'Model inputs'!V14+'Model inputs'!W58</f>
        <v>-11040</v>
      </c>
      <c r="X14" s="10">
        <f>'Model inputs'!W14+'Model inputs'!X58</f>
        <v>-17870</v>
      </c>
    </row>
    <row r="15">
      <c r="A15" t="inlineStr" s="21">
        <is>
          <t xml:space="preserve">Cash balance · AgentBisect — 300 teams at month 12</t>
        </is>
      </c>
      <c r="L15" s="10">
        <f>IF('Model inputs'!C164="","",'Model inputs'!C164)</f>
        <v>25000</v>
      </c>
      <c r="M15" s="10">
        <f>'Model inputs'!L15+'Model inputs'!M59</f>
        <v>26575</v>
      </c>
      <c r="N15" s="10">
        <f>'Model inputs'!M15+'Model inputs'!N59</f>
        <v>30175</v>
      </c>
      <c r="O15" s="10">
        <f>'Model inputs'!N15+'Model inputs'!O59</f>
        <v>35800</v>
      </c>
      <c r="P15" s="10">
        <f>'Model inputs'!O15+'Model inputs'!P59</f>
        <v>43450</v>
      </c>
      <c r="Q15" s="10">
        <f>'Model inputs'!P15+'Model inputs'!Q59</f>
        <v>53125</v>
      </c>
      <c r="R15" s="10">
        <f>'Model inputs'!Q15+'Model inputs'!R59</f>
        <v>64825</v>
      </c>
      <c r="S15" s="10">
        <f>'Model inputs'!R15+'Model inputs'!S59</f>
        <v>70550</v>
      </c>
      <c r="T15" s="10">
        <f>'Model inputs'!S15+'Model inputs'!T59</f>
        <v>78300</v>
      </c>
      <c r="U15" s="10">
        <f>'Model inputs'!T15+'Model inputs'!U59</f>
        <v>88075</v>
      </c>
      <c r="V15" s="10">
        <f>'Model inputs'!U15+'Model inputs'!V59</f>
        <v>99875</v>
      </c>
      <c r="W15" s="10">
        <f>'Model inputs'!V15+'Model inputs'!W59</f>
        <v>113700</v>
      </c>
      <c r="X15" s="10">
        <f>'Model inputs'!W15+'Model inputs'!X59</f>
        <v>129550</v>
      </c>
    </row>
    <row r="16">
      <c r="A16" t="inlineStr" s="21">
        <is>
          <t xml:space="preserve">Compute cost per investigation · Unit economics by plan</t>
        </is>
      </c>
      <c r="B16" s="8">
        <f>'Editable assumptions'!B6</f>
        <v>0.05</v>
      </c>
    </row>
    <row r="17">
      <c r="A17" t="inlineStr" s="21">
        <is>
          <t xml:space="preserve">Compute cost per investigation · Monthly forecast and cash</t>
        </is>
      </c>
      <c r="C17" s="8">
        <f>'Editable assumptions'!B6</f>
        <v>0.05</v>
      </c>
    </row>
    <row r="18">
      <c r="A18" t="inlineStr" s="21">
        <is>
          <t xml:space="preserve">Compute minutes per investigation · Unit economics by plan</t>
        </is>
      </c>
      <c r="B18" s="9">
        <f>'Editable assumptions'!B7</f>
        <v>10</v>
      </c>
    </row>
    <row r="19">
      <c r="A19" t="inlineStr" s="21">
        <is>
          <t xml:space="preserve">Compute minutes per investigation · Monthly forecast and cash</t>
        </is>
      </c>
      <c r="C19" s="9">
        <f>'Editable assumptions'!B7</f>
        <v>10</v>
      </c>
    </row>
    <row r="20">
      <c r="A20" t="inlineStr" s="21">
        <is>
          <t xml:space="preserve">Contribution per repo</t>
        </is>
      </c>
      <c r="B20" s="13">
        <f>'Model inputs'!B79-'Model inputs'!B87</f>
        <v>0</v>
      </c>
    </row>
    <row r="21" outlineLevel="1">
      <c r="A21" t="inlineStr" s="22">
        <is>
          <t xml:space="preserve">Contribution per repo &gt; Free</t>
        </is>
      </c>
      <c r="B21" s="10">
        <f>'Model inputs'!B80-'Model inputs'!B88</f>
        <v>-3</v>
      </c>
    </row>
    <row r="22" outlineLevel="1">
      <c r="A22" t="inlineStr" s="22">
        <is>
          <t xml:space="preserve">Contribution per repo &gt; Team</t>
        </is>
      </c>
      <c r="B22" s="10">
        <f>'Model inputs'!B81-'Model inputs'!B89</f>
        <v>81</v>
      </c>
    </row>
    <row r="23">
      <c r="A23" t="inlineStr" s="21">
        <is>
          <t xml:space="preserve">Contribution per repo</t>
        </is>
      </c>
      <c r="C23" s="13">
        <f>'Model inputs'!B79-'Model inputs'!B87</f>
        <v>0</v>
      </c>
    </row>
    <row r="24" outlineLevel="1">
      <c r="A24" t="inlineStr" s="22">
        <is>
          <t xml:space="preserve">Contribution per repo &gt; Free</t>
        </is>
      </c>
      <c r="C24" s="10">
        <f>'Model inputs'!B80-'Model inputs'!B88</f>
        <v>-3</v>
      </c>
    </row>
    <row r="25" outlineLevel="1">
      <c r="A25" t="inlineStr" s="22">
        <is>
          <t xml:space="preserve">Contribution per repo &gt; Team</t>
        </is>
      </c>
      <c r="C25" s="10">
        <f>'Model inputs'!B81-'Model inputs'!B89</f>
        <v>81</v>
      </c>
    </row>
    <row r="26">
      <c r="A26" t="inlineStr" s="21">
        <is>
          <t xml:space="preserve">Fixed hosting · Monthly forecast and cash</t>
        </is>
      </c>
      <c r="C26" s="10">
        <f>'Editable assumptions'!B8</f>
        <v>300</v>
      </c>
    </row>
    <row r="27">
      <c r="A27" t="inlineStr" s="21">
        <is>
          <t xml:space="preserve">Fixed hosting · Runway summary</t>
        </is>
      </c>
      <c r="B27" s="10">
        <f>'Editable assumptions'!B8</f>
        <v>300</v>
      </c>
    </row>
    <row r="28">
      <c r="A28" t="inlineStr" s="21">
        <is>
          <t xml:space="preserve">Forecast month number · Monthly forecast and cash · Main Scenario</t>
        </is>
      </c>
      <c r="D28" s="9">
        <v>0</v>
      </c>
      <c r="E28" s="9">
        <v>0</v>
      </c>
      <c r="F28" s="9">
        <v>0</v>
      </c>
      <c r="G28" s="9">
        <v>0</v>
      </c>
      <c r="H28" s="9">
        <v>0</v>
      </c>
      <c r="I28" s="9">
        <v>0</v>
      </c>
      <c r="J28" s="9">
        <v>0</v>
      </c>
      <c r="K28" s="9">
        <v>0</v>
      </c>
      <c r="L28" s="9">
        <v>0</v>
      </c>
      <c r="M28" s="9">
        <f>DATEDIF('Model inputs'!C32,DATE(2026,10,1),"M")+1</f>
        <v>1</v>
      </c>
      <c r="N28" s="9">
        <f>DATEDIF('Model inputs'!C32,DATE(2026,11,1),"M")+1</f>
        <v>2</v>
      </c>
      <c r="O28" s="9">
        <f>DATEDIF('Model inputs'!C32,DATE(2026,12,1),"M")+1</f>
        <v>3</v>
      </c>
      <c r="P28" s="9">
        <f>DATEDIF('Model inputs'!C32,DATE(2027,1,1),"M")+1</f>
        <v>4</v>
      </c>
      <c r="Q28" s="9">
        <f>DATEDIF('Model inputs'!C32,DATE(2027,2,1),"M")+1</f>
        <v>5</v>
      </c>
      <c r="R28" s="9">
        <f>DATEDIF('Model inputs'!C32,DATE(2027,3,1),"M")+1</f>
        <v>6</v>
      </c>
      <c r="S28" s="9">
        <f>DATEDIF('Model inputs'!C32,DATE(2027,4,1),"M")+1</f>
        <v>7</v>
      </c>
      <c r="T28" s="9">
        <f>DATEDIF('Model inputs'!C32,DATE(2027,5,1),"M")+1</f>
        <v>8</v>
      </c>
      <c r="U28" s="9">
        <f>DATEDIF('Model inputs'!C32,DATE(2027,6,1),"M")+1</f>
        <v>9</v>
      </c>
      <c r="V28" s="9">
        <f>DATEDIF('Model inputs'!C32,DATE(2027,7,1),"M")+1</f>
        <v>10</v>
      </c>
      <c r="W28" s="9">
        <f>DATEDIF('Model inputs'!C32,DATE(2027,8,1),"M")+1</f>
        <v>11</v>
      </c>
      <c r="X28" s="9">
        <f>DATEDIF('Model inputs'!C32,DATE(2027,9,1),"M")+1</f>
        <v>12</v>
      </c>
      <c r="Y28" s="9">
        <f>DATEDIF('Model inputs'!C32,DATE(2027,10,1),"M")+1</f>
        <v>13</v>
      </c>
      <c r="Z28" s="9">
        <f>DATEDIF('Model inputs'!C32,DATE(2027,11,1),"M")+1</f>
        <v>14</v>
      </c>
      <c r="AA28" s="9">
        <f>DATEDIF('Model inputs'!C32,DATE(2027,12,1),"M")+1</f>
        <v>15</v>
      </c>
      <c r="AB28" s="9">
        <f>DATEDIF('Model inputs'!C32,DATE(2028,1,1),"M")+1</f>
        <v>16</v>
      </c>
      <c r="AC28" s="9">
        <f>DATEDIF('Model inputs'!C32,DATE(2028,2,1),"M")+1</f>
        <v>17</v>
      </c>
      <c r="AD28" s="9">
        <f>DATEDIF('Model inputs'!C32,DATE(2028,3,1),"M")+1</f>
        <v>18</v>
      </c>
      <c r="AE28" s="9">
        <f>DATEDIF('Model inputs'!C32,DATE(2028,4,1),"M")+1</f>
        <v>19</v>
      </c>
      <c r="AF28" s="9">
        <f>DATEDIF('Model inputs'!C32,DATE(2028,5,1),"M")+1</f>
        <v>20</v>
      </c>
      <c r="AG28" s="9">
        <f>DATEDIF('Model inputs'!C32,DATE(2028,6,1),"M")+1</f>
        <v>21</v>
      </c>
      <c r="AH28" s="9">
        <f>DATEDIF('Model inputs'!C32,DATE(2028,7,1),"M")+1</f>
        <v>22</v>
      </c>
      <c r="AI28" s="9">
        <f>DATEDIF('Model inputs'!C32,DATE(2028,8,1),"M")+1</f>
        <v>23</v>
      </c>
      <c r="AJ28" s="9">
        <f>DATEDIF('Model inputs'!C32,DATE(2028,9,1),"M")+1</f>
        <v>24</v>
      </c>
    </row>
    <row r="29">
      <c r="A29" t="inlineStr" s="21">
        <is>
          <t xml:space="preserve">Forecast month number · AgentBisect — 100 teams at month 12</t>
        </is>
      </c>
      <c r="L29" s="9">
        <v>0</v>
      </c>
      <c r="M29" s="9">
        <f>DATEDIF('Model inputs'!C121,DATE(2026,10,1),"M")+1</f>
        <v>1</v>
      </c>
      <c r="N29" s="9">
        <f>DATEDIF('Model inputs'!C121,DATE(2026,11,1),"M")+1</f>
        <v>2</v>
      </c>
      <c r="O29" s="9">
        <f>DATEDIF('Model inputs'!C121,DATE(2026,12,1),"M")+1</f>
        <v>3</v>
      </c>
      <c r="P29" s="9">
        <f>DATEDIF('Model inputs'!C121,DATE(2027,1,1),"M")+1</f>
        <v>4</v>
      </c>
      <c r="Q29" s="9">
        <f>DATEDIF('Model inputs'!C121,DATE(2027,2,1),"M")+1</f>
        <v>5</v>
      </c>
      <c r="R29" s="9">
        <f>DATEDIF('Model inputs'!C121,DATE(2027,3,1),"M")+1</f>
        <v>6</v>
      </c>
      <c r="S29" s="9">
        <f>DATEDIF('Model inputs'!C121,DATE(2027,4,1),"M")+1</f>
        <v>7</v>
      </c>
      <c r="T29" s="9">
        <f>DATEDIF('Model inputs'!C121,DATE(2027,5,1),"M")+1</f>
        <v>8</v>
      </c>
      <c r="U29" s="9">
        <f>DATEDIF('Model inputs'!C121,DATE(2027,6,1),"M")+1</f>
        <v>9</v>
      </c>
      <c r="V29" s="9">
        <f>DATEDIF('Model inputs'!C121,DATE(2027,7,1),"M")+1</f>
        <v>10</v>
      </c>
      <c r="W29" s="9">
        <f>DATEDIF('Model inputs'!C121,DATE(2027,8,1),"M")+1</f>
        <v>11</v>
      </c>
      <c r="X29" s="9">
        <f>DATEDIF('Model inputs'!C121,DATE(2027,9,1),"M")+1</f>
        <v>12</v>
      </c>
    </row>
    <row r="30">
      <c r="A30" t="inlineStr" s="21">
        <is>
          <t xml:space="preserve">Forecast month number · AgentBisect — 20 teams at month 12</t>
        </is>
      </c>
      <c r="L30" s="9">
        <v>0</v>
      </c>
      <c r="M30" s="9">
        <f>DATEDIF('Model inputs'!C122,DATE(2026,10,1),"M")+1</f>
        <v>1</v>
      </c>
      <c r="N30" s="9">
        <f>DATEDIF('Model inputs'!C122,DATE(2026,11,1),"M")+1</f>
        <v>2</v>
      </c>
      <c r="O30" s="9">
        <f>DATEDIF('Model inputs'!C122,DATE(2026,12,1),"M")+1</f>
        <v>3</v>
      </c>
      <c r="P30" s="9">
        <f>DATEDIF('Model inputs'!C122,DATE(2027,1,1),"M")+1</f>
        <v>4</v>
      </c>
      <c r="Q30" s="9">
        <f>DATEDIF('Model inputs'!C122,DATE(2027,2,1),"M")+1</f>
        <v>5</v>
      </c>
      <c r="R30" s="9">
        <f>DATEDIF('Model inputs'!C122,DATE(2027,3,1),"M")+1</f>
        <v>6</v>
      </c>
      <c r="S30" s="9">
        <f>DATEDIF('Model inputs'!C122,DATE(2027,4,1),"M")+1</f>
        <v>7</v>
      </c>
      <c r="T30" s="9">
        <f>DATEDIF('Model inputs'!C122,DATE(2027,5,1),"M")+1</f>
        <v>8</v>
      </c>
      <c r="U30" s="9">
        <f>DATEDIF('Model inputs'!C122,DATE(2027,6,1),"M")+1</f>
        <v>9</v>
      </c>
      <c r="V30" s="9">
        <f>DATEDIF('Model inputs'!C122,DATE(2027,7,1),"M")+1</f>
        <v>10</v>
      </c>
      <c r="W30" s="9">
        <f>DATEDIF('Model inputs'!C122,DATE(2027,8,1),"M")+1</f>
        <v>11</v>
      </c>
      <c r="X30" s="9">
        <f>DATEDIF('Model inputs'!C122,DATE(2027,9,1),"M")+1</f>
        <v>12</v>
      </c>
    </row>
    <row r="31">
      <c r="A31" t="inlineStr" s="21">
        <is>
          <t xml:space="preserve">Forecast month number · AgentBisect — 300 teams at month 12</t>
        </is>
      </c>
      <c r="L31" s="9">
        <v>0</v>
      </c>
      <c r="M31" s="9">
        <f>DATEDIF('Model inputs'!C123,DATE(2026,10,1),"M")+1</f>
        <v>1</v>
      </c>
      <c r="N31" s="9">
        <f>DATEDIF('Model inputs'!C123,DATE(2026,11,1),"M")+1</f>
        <v>2</v>
      </c>
      <c r="O31" s="9">
        <f>DATEDIF('Model inputs'!C123,DATE(2026,12,1),"M")+1</f>
        <v>3</v>
      </c>
      <c r="P31" s="9">
        <f>DATEDIF('Model inputs'!C123,DATE(2027,1,1),"M")+1</f>
        <v>4</v>
      </c>
      <c r="Q31" s="9">
        <f>DATEDIF('Model inputs'!C123,DATE(2027,2,1),"M")+1</f>
        <v>5</v>
      </c>
      <c r="R31" s="9">
        <f>DATEDIF('Model inputs'!C123,DATE(2027,3,1),"M")+1</f>
        <v>6</v>
      </c>
      <c r="S31" s="9">
        <f>DATEDIF('Model inputs'!C123,DATE(2027,4,1),"M")+1</f>
        <v>7</v>
      </c>
      <c r="T31" s="9">
        <f>DATEDIF('Model inputs'!C123,DATE(2027,5,1),"M")+1</f>
        <v>8</v>
      </c>
      <c r="U31" s="9">
        <f>DATEDIF('Model inputs'!C123,DATE(2027,6,1),"M")+1</f>
        <v>9</v>
      </c>
      <c r="V31" s="9">
        <f>DATEDIF('Model inputs'!C123,DATE(2027,7,1),"M")+1</f>
        <v>10</v>
      </c>
      <c r="W31" s="9">
        <f>DATEDIF('Model inputs'!C123,DATE(2027,8,1),"M")+1</f>
        <v>11</v>
      </c>
      <c r="X31" s="9">
        <f>DATEDIF('Model inputs'!C123,DATE(2027,9,1),"M")+1</f>
        <v>12</v>
      </c>
    </row>
    <row r="32">
      <c r="A32" t="inlineStr" s="21">
        <is>
          <t xml:space="preserve">Forecast start · Monthly forecast and cash</t>
        </is>
      </c>
      <c r="C32" s="11">
        <f>DATE(2026,10,1)</f>
        <v>46296</v>
      </c>
    </row>
    <row r="33">
      <c r="A33" t="inlineStr" s="21">
        <is>
          <t xml:space="preserve">Forecast start · Runway summary</t>
        </is>
      </c>
      <c r="B33" s="11">
        <f>DATE(2026,10,1)</f>
        <v>46296</v>
      </c>
    </row>
    <row r="34">
      <c r="A34" t="inlineStr" s="21">
        <is>
          <t xml:space="preserve">Founder monthly salary · Monthly forecast and cash</t>
        </is>
      </c>
      <c r="C34" s="10">
        <f>'Editable assumptions'!B9</f>
        <v>8000</v>
      </c>
    </row>
    <row r="35">
      <c r="A35" t="inlineStr" s="21">
        <is>
          <t xml:space="preserve">Founder monthly salary · Runway summary</t>
        </is>
      </c>
      <c r="B35" s="10">
        <f>'Editable assumptions'!B9</f>
        <v>8000</v>
      </c>
    </row>
    <row r="36">
      <c r="A36" t="inlineStr" s="21">
        <is>
          <t xml:space="preserve">Founder pay</t>
        </is>
      </c>
      <c r="L36" s="13">
        <f>SUM('Model inputs'!L37)</f>
        <v>0</v>
      </c>
      <c r="M36" s="13">
        <f>SUM('Model inputs'!M37)</f>
        <v>0</v>
      </c>
      <c r="N36" s="13">
        <f>SUM('Model inputs'!N37)</f>
        <v>0</v>
      </c>
      <c r="O36" s="13">
        <f>SUM('Model inputs'!O37)</f>
        <v>0</v>
      </c>
      <c r="P36" s="13">
        <f>SUM('Model inputs'!P37)</f>
        <v>0</v>
      </c>
      <c r="Q36" s="13">
        <f>SUM('Model inputs'!Q37)</f>
        <v>0</v>
      </c>
      <c r="R36" s="13">
        <f>SUM('Model inputs'!R37)</f>
        <v>0</v>
      </c>
      <c r="S36" s="13">
        <f>SUM('Model inputs'!S37)</f>
        <v>8000</v>
      </c>
      <c r="T36" s="13">
        <f>SUM('Model inputs'!T37)</f>
        <v>8000</v>
      </c>
      <c r="U36" s="13">
        <f>SUM('Model inputs'!U37)</f>
        <v>8000</v>
      </c>
      <c r="V36" s="13">
        <f>SUM('Model inputs'!V37)</f>
        <v>8000</v>
      </c>
      <c r="W36" s="13">
        <f>SUM('Model inputs'!W37)</f>
        <v>8000</v>
      </c>
      <c r="X36" s="13">
        <f>SUM('Model inputs'!X37)</f>
        <v>8000</v>
      </c>
      <c r="Y36" s="13">
        <f>SUM('Model inputs'!Y37)</f>
        <v>8000</v>
      </c>
      <c r="Z36" s="13">
        <f>SUM('Model inputs'!Z37)</f>
        <v>8000</v>
      </c>
      <c r="AA36" s="13">
        <f>SUM('Model inputs'!AA37)</f>
        <v>8000</v>
      </c>
      <c r="AB36" s="13">
        <f>SUM('Model inputs'!AB37)</f>
        <v>8000</v>
      </c>
      <c r="AC36" s="13">
        <f>SUM('Model inputs'!AC37)</f>
        <v>8000</v>
      </c>
      <c r="AD36" s="13">
        <f>SUM('Model inputs'!AD37)</f>
        <v>8000</v>
      </c>
      <c r="AE36" s="13">
        <f>SUM('Model inputs'!AE37)</f>
        <v>8000</v>
      </c>
      <c r="AF36" s="13">
        <f>SUM('Model inputs'!AF37)</f>
        <v>8000</v>
      </c>
      <c r="AG36" s="13">
        <f>SUM('Model inputs'!AG37)</f>
        <v>8000</v>
      </c>
      <c r="AH36" s="13">
        <f>SUM('Model inputs'!AH37)</f>
        <v>8000</v>
      </c>
      <c r="AI36" s="13">
        <f>SUM('Model inputs'!AI37)</f>
        <v>8000</v>
      </c>
      <c r="AJ36" s="13">
        <f>SUM('Model inputs'!AJ37)</f>
        <v>8000</v>
      </c>
    </row>
    <row r="37" outlineLevel="1">
      <c r="A37" t="inlineStr" s="22">
        <is>
          <t xml:space="preserve">Founder pay &gt; Founder — sole operator</t>
        </is>
      </c>
      <c r="L37" s="10">
        <f>'Monthly forecast and cash'!B26</f>
        <v>0</v>
      </c>
      <c r="M37" s="10">
        <f>IF(IF(IF(ISERROR('Model inputs'!M28&lt;='Model inputs'!C86),'Model inputs'!M28&lt;='Model inputs'!C86,IF(OR('Model inputs'!M28="",'Model inputs'!C86=""),"",'Model inputs'!M28&lt;='Model inputs'!C86))="",FALSE,IF(ISERROR('Model inputs'!M28&lt;='Model inputs'!C86),'Model inputs'!M28&lt;='Model inputs'!C86,IF(OR('Model inputs'!M28="",'Model inputs'!C86=""),"",'Model inputs'!M28&lt;='Model inputs'!C86))),0,IF('Model inputs'!C34="","",'Model inputs'!C34))</f>
        <v>0</v>
      </c>
      <c r="N37" s="10">
        <f>IF(IF(IF(ISERROR('Model inputs'!N28&lt;='Model inputs'!C86),'Model inputs'!N28&lt;='Model inputs'!C86,IF(OR('Model inputs'!N28="",'Model inputs'!C86=""),"",'Model inputs'!N28&lt;='Model inputs'!C86))="",FALSE,IF(ISERROR('Model inputs'!N28&lt;='Model inputs'!C86),'Model inputs'!N28&lt;='Model inputs'!C86,IF(OR('Model inputs'!N28="",'Model inputs'!C86=""),"",'Model inputs'!N28&lt;='Model inputs'!C86))),0,IF('Model inputs'!C34="","",'Model inputs'!C34))</f>
        <v>0</v>
      </c>
      <c r="O37" s="10">
        <f>IF(IF(IF(ISERROR('Model inputs'!O28&lt;='Model inputs'!C86),'Model inputs'!O28&lt;='Model inputs'!C86,IF(OR('Model inputs'!O28="",'Model inputs'!C86=""),"",'Model inputs'!O28&lt;='Model inputs'!C86))="",FALSE,IF(ISERROR('Model inputs'!O28&lt;='Model inputs'!C86),'Model inputs'!O28&lt;='Model inputs'!C86,IF(OR('Model inputs'!O28="",'Model inputs'!C86=""),"",'Model inputs'!O28&lt;='Model inputs'!C86))),0,IF('Model inputs'!C34="","",'Model inputs'!C34))</f>
        <v>0</v>
      </c>
      <c r="P37" s="10">
        <f>IF(IF(IF(ISERROR('Model inputs'!P28&lt;='Model inputs'!C86),'Model inputs'!P28&lt;='Model inputs'!C86,IF(OR('Model inputs'!P28="",'Model inputs'!C86=""),"",'Model inputs'!P28&lt;='Model inputs'!C86))="",FALSE,IF(ISERROR('Model inputs'!P28&lt;='Model inputs'!C86),'Model inputs'!P28&lt;='Model inputs'!C86,IF(OR('Model inputs'!P28="",'Model inputs'!C86=""),"",'Model inputs'!P28&lt;='Model inputs'!C86))),0,IF('Model inputs'!C34="","",'Model inputs'!C34))</f>
        <v>0</v>
      </c>
      <c r="Q37" s="10">
        <f>IF(IF(IF(ISERROR('Model inputs'!Q28&lt;='Model inputs'!C86),'Model inputs'!Q28&lt;='Model inputs'!C86,IF(OR('Model inputs'!Q28="",'Model inputs'!C86=""),"",'Model inputs'!Q28&lt;='Model inputs'!C86))="",FALSE,IF(ISERROR('Model inputs'!Q28&lt;='Model inputs'!C86),'Model inputs'!Q28&lt;='Model inputs'!C86,IF(OR('Model inputs'!Q28="",'Model inputs'!C86=""),"",'Model inputs'!Q28&lt;='Model inputs'!C86))),0,IF('Model inputs'!C34="","",'Model inputs'!C34))</f>
        <v>0</v>
      </c>
      <c r="R37" s="10">
        <f>IF(IF(IF(ISERROR('Model inputs'!R28&lt;='Model inputs'!C86),'Model inputs'!R28&lt;='Model inputs'!C86,IF(OR('Model inputs'!R28="",'Model inputs'!C86=""),"",'Model inputs'!R28&lt;='Model inputs'!C86))="",FALSE,IF(ISERROR('Model inputs'!R28&lt;='Model inputs'!C86),'Model inputs'!R28&lt;='Model inputs'!C86,IF(OR('Model inputs'!R28="",'Model inputs'!C86=""),"",'Model inputs'!R28&lt;='Model inputs'!C86))),0,IF('Model inputs'!C34="","",'Model inputs'!C34))</f>
        <v>0</v>
      </c>
      <c r="S37" s="10">
        <f>IF(IF(IF(ISERROR('Model inputs'!S28&lt;='Model inputs'!C86),'Model inputs'!S28&lt;='Model inputs'!C86,IF(OR('Model inputs'!S28="",'Model inputs'!C86=""),"",'Model inputs'!S28&lt;='Model inputs'!C86))="",FALSE,IF(ISERROR('Model inputs'!S28&lt;='Model inputs'!C86),'Model inputs'!S28&lt;='Model inputs'!C86,IF(OR('Model inputs'!S28="",'Model inputs'!C86=""),"",'Model inputs'!S28&lt;='Model inputs'!C86))),0,IF('Model inputs'!C34="","",'Model inputs'!C34))</f>
        <v>8000</v>
      </c>
      <c r="T37" s="10">
        <f>IF(IF(IF(ISERROR('Model inputs'!T28&lt;='Model inputs'!C86),'Model inputs'!T28&lt;='Model inputs'!C86,IF(OR('Model inputs'!T28="",'Model inputs'!C86=""),"",'Model inputs'!T28&lt;='Model inputs'!C86))="",FALSE,IF(ISERROR('Model inputs'!T28&lt;='Model inputs'!C86),'Model inputs'!T28&lt;='Model inputs'!C86,IF(OR('Model inputs'!T28="",'Model inputs'!C86=""),"",'Model inputs'!T28&lt;='Model inputs'!C86))),0,IF('Model inputs'!C34="","",'Model inputs'!C34))</f>
        <v>8000</v>
      </c>
      <c r="U37" s="10">
        <f>IF(IF(IF(ISERROR('Model inputs'!U28&lt;='Model inputs'!C86),'Model inputs'!U28&lt;='Model inputs'!C86,IF(OR('Model inputs'!U28="",'Model inputs'!C86=""),"",'Model inputs'!U28&lt;='Model inputs'!C86))="",FALSE,IF(ISERROR('Model inputs'!U28&lt;='Model inputs'!C86),'Model inputs'!U28&lt;='Model inputs'!C86,IF(OR('Model inputs'!U28="",'Model inputs'!C86=""),"",'Model inputs'!U28&lt;='Model inputs'!C86))),0,IF('Model inputs'!C34="","",'Model inputs'!C34))</f>
        <v>8000</v>
      </c>
      <c r="V37" s="10">
        <f>IF(IF(IF(ISERROR('Model inputs'!V28&lt;='Model inputs'!C86),'Model inputs'!V28&lt;='Model inputs'!C86,IF(OR('Model inputs'!V28="",'Model inputs'!C86=""),"",'Model inputs'!V28&lt;='Model inputs'!C86))="",FALSE,IF(ISERROR('Model inputs'!V28&lt;='Model inputs'!C86),'Model inputs'!V28&lt;='Model inputs'!C86,IF(OR('Model inputs'!V28="",'Model inputs'!C86=""),"",'Model inputs'!V28&lt;='Model inputs'!C86))),0,IF('Model inputs'!C34="","",'Model inputs'!C34))</f>
        <v>8000</v>
      </c>
      <c r="W37" s="10">
        <f>IF(IF(IF(ISERROR('Model inputs'!W28&lt;='Model inputs'!C86),'Model inputs'!W28&lt;='Model inputs'!C86,IF(OR('Model inputs'!W28="",'Model inputs'!C86=""),"",'Model inputs'!W28&lt;='Model inputs'!C86))="",FALSE,IF(ISERROR('Model inputs'!W28&lt;='Model inputs'!C86),'Model inputs'!W28&lt;='Model inputs'!C86,IF(OR('Model inputs'!W28="",'Model inputs'!C86=""),"",'Model inputs'!W28&lt;='Model inputs'!C86))),0,IF('Model inputs'!C34="","",'Model inputs'!C34))</f>
        <v>8000</v>
      </c>
      <c r="X37" s="10">
        <f>IF(IF(IF(ISERROR('Model inputs'!X28&lt;='Model inputs'!C86),'Model inputs'!X28&lt;='Model inputs'!C86,IF(OR('Model inputs'!X28="",'Model inputs'!C86=""),"",'Model inputs'!X28&lt;='Model inputs'!C86))="",FALSE,IF(ISERROR('Model inputs'!X28&lt;='Model inputs'!C86),'Model inputs'!X28&lt;='Model inputs'!C86,IF(OR('Model inputs'!X28="",'Model inputs'!C86=""),"",'Model inputs'!X28&lt;='Model inputs'!C86))),0,IF('Model inputs'!C34="","",'Model inputs'!C34))</f>
        <v>8000</v>
      </c>
      <c r="Y37" s="10">
        <f>IF(IF(IF(ISERROR('Model inputs'!Y28&lt;='Model inputs'!C86),'Model inputs'!Y28&lt;='Model inputs'!C86,IF(OR('Model inputs'!Y28="",'Model inputs'!C86=""),"",'Model inputs'!Y28&lt;='Model inputs'!C86))="",FALSE,IF(ISERROR('Model inputs'!Y28&lt;='Model inputs'!C86),'Model inputs'!Y28&lt;='Model inputs'!C86,IF(OR('Model inputs'!Y28="",'Model inputs'!C86=""),"",'Model inputs'!Y28&lt;='Model inputs'!C86))),0,IF('Model inputs'!C34="","",'Model inputs'!C34))</f>
        <v>8000</v>
      </c>
      <c r="Z37" s="10">
        <f>IF(IF(IF(ISERROR('Model inputs'!Z28&lt;='Model inputs'!C86),'Model inputs'!Z28&lt;='Model inputs'!C86,IF(OR('Model inputs'!Z28="",'Model inputs'!C86=""),"",'Model inputs'!Z28&lt;='Model inputs'!C86))="",FALSE,IF(ISERROR('Model inputs'!Z28&lt;='Model inputs'!C86),'Model inputs'!Z28&lt;='Model inputs'!C86,IF(OR('Model inputs'!Z28="",'Model inputs'!C86=""),"",'Model inputs'!Z28&lt;='Model inputs'!C86))),0,IF('Model inputs'!C34="","",'Model inputs'!C34))</f>
        <v>8000</v>
      </c>
      <c r="AA37" s="10">
        <f>IF(IF(IF(ISERROR('Model inputs'!AA28&lt;='Model inputs'!C86),'Model inputs'!AA28&lt;='Model inputs'!C86,IF(OR('Model inputs'!AA28="",'Model inputs'!C86=""),"",'Model inputs'!AA28&lt;='Model inputs'!C86))="",FALSE,IF(ISERROR('Model inputs'!AA28&lt;='Model inputs'!C86),'Model inputs'!AA28&lt;='Model inputs'!C86,IF(OR('Model inputs'!AA28="",'Model inputs'!C86=""),"",'Model inputs'!AA28&lt;='Model inputs'!C86))),0,IF('Model inputs'!C34="","",'Model inputs'!C34))</f>
        <v>8000</v>
      </c>
      <c r="AB37" s="10">
        <f>IF(IF(IF(ISERROR('Model inputs'!AB28&lt;='Model inputs'!C86),'Model inputs'!AB28&lt;='Model inputs'!C86,IF(OR('Model inputs'!AB28="",'Model inputs'!C86=""),"",'Model inputs'!AB28&lt;='Model inputs'!C86))="",FALSE,IF(ISERROR('Model inputs'!AB28&lt;='Model inputs'!C86),'Model inputs'!AB28&lt;='Model inputs'!C86,IF(OR('Model inputs'!AB28="",'Model inputs'!C86=""),"",'Model inputs'!AB28&lt;='Model inputs'!C86))),0,IF('Model inputs'!C34="","",'Model inputs'!C34))</f>
        <v>8000</v>
      </c>
      <c r="AC37" s="10">
        <f>IF(IF(IF(ISERROR('Model inputs'!AC28&lt;='Model inputs'!C86),'Model inputs'!AC28&lt;='Model inputs'!C86,IF(OR('Model inputs'!AC28="",'Model inputs'!C86=""),"",'Model inputs'!AC28&lt;='Model inputs'!C86))="",FALSE,IF(ISERROR('Model inputs'!AC28&lt;='Model inputs'!C86),'Model inputs'!AC28&lt;='Model inputs'!C86,IF(OR('Model inputs'!AC28="",'Model inputs'!C86=""),"",'Model inputs'!AC28&lt;='Model inputs'!C86))),0,IF('Model inputs'!C34="","",'Model inputs'!C34))</f>
        <v>8000</v>
      </c>
      <c r="AD37" s="10">
        <f>IF(IF(IF(ISERROR('Model inputs'!AD28&lt;='Model inputs'!C86),'Model inputs'!AD28&lt;='Model inputs'!C86,IF(OR('Model inputs'!AD28="",'Model inputs'!C86=""),"",'Model inputs'!AD28&lt;='Model inputs'!C86))="",FALSE,IF(ISERROR('Model inputs'!AD28&lt;='Model inputs'!C86),'Model inputs'!AD28&lt;='Model inputs'!C86,IF(OR('Model inputs'!AD28="",'Model inputs'!C86=""),"",'Model inputs'!AD28&lt;='Model inputs'!C86))),0,IF('Model inputs'!C34="","",'Model inputs'!C34))</f>
        <v>8000</v>
      </c>
      <c r="AE37" s="10">
        <f>IF(IF(IF(ISERROR('Model inputs'!AE28&lt;='Model inputs'!C86),'Model inputs'!AE28&lt;='Model inputs'!C86,IF(OR('Model inputs'!AE28="",'Model inputs'!C86=""),"",'Model inputs'!AE28&lt;='Model inputs'!C86))="",FALSE,IF(ISERROR('Model inputs'!AE28&lt;='Model inputs'!C86),'Model inputs'!AE28&lt;='Model inputs'!C86,IF(OR('Model inputs'!AE28="",'Model inputs'!C86=""),"",'Model inputs'!AE28&lt;='Model inputs'!C86))),0,IF('Model inputs'!C34="","",'Model inputs'!C34))</f>
        <v>8000</v>
      </c>
      <c r="AF37" s="10">
        <f>IF(IF(IF(ISERROR('Model inputs'!AF28&lt;='Model inputs'!C86),'Model inputs'!AF28&lt;='Model inputs'!C86,IF(OR('Model inputs'!AF28="",'Model inputs'!C86=""),"",'Model inputs'!AF28&lt;='Model inputs'!C86))="",FALSE,IF(ISERROR('Model inputs'!AF28&lt;='Model inputs'!C86),'Model inputs'!AF28&lt;='Model inputs'!C86,IF(OR('Model inputs'!AF28="",'Model inputs'!C86=""),"",'Model inputs'!AF28&lt;='Model inputs'!C86))),0,IF('Model inputs'!C34="","",'Model inputs'!C34))</f>
        <v>8000</v>
      </c>
      <c r="AG37" s="10">
        <f>IF(IF(IF(ISERROR('Model inputs'!AG28&lt;='Model inputs'!C86),'Model inputs'!AG28&lt;='Model inputs'!C86,IF(OR('Model inputs'!AG28="",'Model inputs'!C86=""),"",'Model inputs'!AG28&lt;='Model inputs'!C86))="",FALSE,IF(ISERROR('Model inputs'!AG28&lt;='Model inputs'!C86),'Model inputs'!AG28&lt;='Model inputs'!C86,IF(OR('Model inputs'!AG28="",'Model inputs'!C86=""),"",'Model inputs'!AG28&lt;='Model inputs'!C86))),0,IF('Model inputs'!C34="","",'Model inputs'!C34))</f>
        <v>8000</v>
      </c>
      <c r="AH37" s="10">
        <f>IF(IF(IF(ISERROR('Model inputs'!AH28&lt;='Model inputs'!C86),'Model inputs'!AH28&lt;='Model inputs'!C86,IF(OR('Model inputs'!AH28="",'Model inputs'!C86=""),"",'Model inputs'!AH28&lt;='Model inputs'!C86))="",FALSE,IF(ISERROR('Model inputs'!AH28&lt;='Model inputs'!C86),'Model inputs'!AH28&lt;='Model inputs'!C86,IF(OR('Model inputs'!AH28="",'Model inputs'!C86=""),"",'Model inputs'!AH28&lt;='Model inputs'!C86))),0,IF('Model inputs'!C34="","",'Model inputs'!C34))</f>
        <v>8000</v>
      </c>
      <c r="AI37" s="10">
        <f>IF(IF(IF(ISERROR('Model inputs'!AI28&lt;='Model inputs'!C86),'Model inputs'!AI28&lt;='Model inputs'!C86,IF(OR('Model inputs'!AI28="",'Model inputs'!C86=""),"",'Model inputs'!AI28&lt;='Model inputs'!C86))="",FALSE,IF(ISERROR('Model inputs'!AI28&lt;='Model inputs'!C86),'Model inputs'!AI28&lt;='Model inputs'!C86,IF(OR('Model inputs'!AI28="",'Model inputs'!C86=""),"",'Model inputs'!AI28&lt;='Model inputs'!C86))),0,IF('Model inputs'!C34="","",'Model inputs'!C34))</f>
        <v>8000</v>
      </c>
      <c r="AJ37" s="10">
        <f>IF(IF(IF(ISERROR('Model inputs'!AJ28&lt;='Model inputs'!C86),'Model inputs'!AJ28&lt;='Model inputs'!C86,IF(OR('Model inputs'!AJ28="",'Model inputs'!C86=""),"",'Model inputs'!AJ28&lt;='Model inputs'!C86))="",FALSE,IF(ISERROR('Model inputs'!AJ28&lt;='Model inputs'!C86),'Model inputs'!AJ28&lt;='Model inputs'!C86,IF(OR('Model inputs'!AJ28="",'Model inputs'!C86=""),"",'Model inputs'!AJ28&lt;='Model inputs'!C86))),0,IF('Model inputs'!C34="","",'Model inputs'!C34))</f>
        <v>8000</v>
      </c>
    </row>
    <row r="38">
      <c r="A38" t="inlineStr" s="21">
        <is>
          <t xml:space="preserve">Founder pay</t>
        </is>
      </c>
      <c r="X38" s="13">
        <f>SUM('Model inputs'!X39)</f>
        <v>8000</v>
      </c>
    </row>
    <row r="39" outlineLevel="1">
      <c r="A39" t="inlineStr" s="22">
        <is>
          <t xml:space="preserve">Founder pay &gt; Founder — sole operator</t>
        </is>
      </c>
      <c r="X39" s="10">
        <f>IF(IF(IF(ISERROR('Model inputs'!X29&lt;='Model inputs'!C165),'Model inputs'!X29&lt;='Model inputs'!C165,IF(OR('Model inputs'!X29="",'Model inputs'!C165=""),"",'Model inputs'!X29&lt;='Model inputs'!C165))="",FALSE,IF(ISERROR('Model inputs'!X29&lt;='Model inputs'!C165),'Model inputs'!X29&lt;='Model inputs'!C165,IF(OR('Model inputs'!X29="",'Model inputs'!C165=""),"",'Model inputs'!X29&lt;='Model inputs'!C165))),0,IF('Model inputs'!C124="","",'Model inputs'!C124))</f>
        <v>8000</v>
      </c>
    </row>
    <row r="40">
      <c r="A40" t="inlineStr" s="21">
        <is>
          <t xml:space="preserve">Founder pay</t>
        </is>
      </c>
      <c r="X40" s="13">
        <f>SUM('Model inputs'!X41)</f>
        <v>8000</v>
      </c>
    </row>
    <row r="41" outlineLevel="1">
      <c r="A41" t="inlineStr" s="22">
        <is>
          <t xml:space="preserve">Founder pay &gt; Founder — sole operator</t>
        </is>
      </c>
      <c r="X41" s="10">
        <f>IF(IF(IF(ISERROR('Model inputs'!X30&lt;='Model inputs'!C166),'Model inputs'!X30&lt;='Model inputs'!C166,IF(OR('Model inputs'!X30="",'Model inputs'!C166=""),"",'Model inputs'!X30&lt;='Model inputs'!C166))="",FALSE,IF(ISERROR('Model inputs'!X30&lt;='Model inputs'!C166),'Model inputs'!X30&lt;='Model inputs'!C166,IF(OR('Model inputs'!X30="",'Model inputs'!C166=""),"",'Model inputs'!X30&lt;='Model inputs'!C166))),0,IF('Model inputs'!C125="","",'Model inputs'!C125))</f>
        <v>8000</v>
      </c>
    </row>
    <row r="42">
      <c r="A42" t="inlineStr" s="21">
        <is>
          <t xml:space="preserve">Founder pay</t>
        </is>
      </c>
      <c r="X42" s="13">
        <f>SUM('Model inputs'!X43)</f>
        <v>8000</v>
      </c>
    </row>
    <row r="43" outlineLevel="1">
      <c r="A43" t="inlineStr" s="22">
        <is>
          <t xml:space="preserve">Founder pay &gt; Founder — sole operator</t>
        </is>
      </c>
      <c r="X43" s="10">
        <f>IF(IF(IF(ISERROR('Model inputs'!X31&lt;='Model inputs'!C167),'Model inputs'!X31&lt;='Model inputs'!C167,IF(OR('Model inputs'!X31="",'Model inputs'!C167=""),"",'Model inputs'!X31&lt;='Model inputs'!C167))="",FALSE,IF(ISERROR('Model inputs'!X31&lt;='Model inputs'!C167),'Model inputs'!X31&lt;='Model inputs'!C167,IF(OR('Model inputs'!X31="",'Model inputs'!C167=""),"",'Model inputs'!X31&lt;='Model inputs'!C167))),0,IF('Model inputs'!C126="","",'Model inputs'!C126))</f>
        <v>8000</v>
      </c>
    </row>
    <row r="44">
      <c r="A44" t="inlineStr" s="21">
        <is>
          <t xml:space="preserve">Free repos · Monthly forecast and cash</t>
        </is>
      </c>
      <c r="C44" s="9">
        <f>'Editable assumptions'!B14</f>
        <v>50</v>
      </c>
    </row>
    <row r="45">
      <c r="A45" t="inlineStr" s="21">
        <is>
          <t xml:space="preserve">Free repos · Runway summary</t>
        </is>
      </c>
      <c r="B45" s="9">
        <f>'Editable assumptions'!B14</f>
        <v>50</v>
      </c>
    </row>
    <row r="46">
      <c r="A46" t="inlineStr" s="21">
        <is>
          <t xml:space="preserve">Fully funded month</t>
        </is>
      </c>
      <c r="D46" s="9">
        <v>0</v>
      </c>
      <c r="E46" s="9">
        <v>0</v>
      </c>
      <c r="F46" s="9">
        <v>0</v>
      </c>
      <c r="G46" s="9">
        <v>0</v>
      </c>
      <c r="H46" s="9">
        <v>0</v>
      </c>
      <c r="I46" s="9">
        <v>0</v>
      </c>
      <c r="J46" s="9">
        <v>0</v>
      </c>
      <c r="K46" s="9">
        <v>0</v>
      </c>
      <c r="L46" s="9">
        <v>0</v>
      </c>
      <c r="M46" s="9">
        <f>IF(IF(IF(ISERROR('Model inputs'!B1205&gt;0),'Model inputs'!B1205&gt;0,IF('Model inputs'!B1205="","",'Model inputs'!B1205&gt;0))="",FALSE,IF(ISERROR('Model inputs'!B1205&gt;0),'Model inputs'!B1205&gt;0,IF('Model inputs'!B1205="","",'Model inputs'!B1205&gt;0))),1,0)</f>
        <v>1</v>
      </c>
      <c r="N46" s="9">
        <f>IF(IF(IF(ISERROR('Model inputs'!B1239&gt;0),'Model inputs'!B1239&gt;0,IF('Model inputs'!B1239="","",'Model inputs'!B1239&gt;0))="",FALSE,IF(ISERROR('Model inputs'!B1239&gt;0),'Model inputs'!B1239&gt;0,IF('Model inputs'!B1239="","",'Model inputs'!B1239&gt;0))),1,0)</f>
        <v>1</v>
      </c>
      <c r="O46" s="9">
        <f>IF(IF(IF(ISERROR('Model inputs'!B1273&gt;0),'Model inputs'!B1273&gt;0,IF('Model inputs'!B1273="","",'Model inputs'!B1273&gt;0))="",FALSE,IF(ISERROR('Model inputs'!B1273&gt;0),'Model inputs'!B1273&gt;0,IF('Model inputs'!B1273="","",'Model inputs'!B1273&gt;0))),1,0)</f>
        <v>1</v>
      </c>
      <c r="P46" s="9">
        <f>IF(IF(IF(ISERROR('Model inputs'!B1307&gt;0),'Model inputs'!B1307&gt;0,IF('Model inputs'!B1307="","",'Model inputs'!B1307&gt;0))="",FALSE,IF(ISERROR('Model inputs'!B1307&gt;0),'Model inputs'!B1307&gt;0,IF('Model inputs'!B1307="","",'Model inputs'!B1307&gt;0))),1,0)</f>
        <v>1</v>
      </c>
      <c r="Q46" s="9">
        <f>IF(IF(IF(ISERROR('Model inputs'!B1341&gt;0),'Model inputs'!B1341&gt;0,IF('Model inputs'!B1341="","",'Model inputs'!B1341&gt;0))="",FALSE,IF(ISERROR('Model inputs'!B1341&gt;0),'Model inputs'!B1341&gt;0,IF('Model inputs'!B1341="","",'Model inputs'!B1341&gt;0))),1,0)</f>
        <v>1</v>
      </c>
      <c r="R46" s="9">
        <f>IF(IF(IF(ISERROR('Model inputs'!B1375&gt;0),'Model inputs'!B1375&gt;0,IF('Model inputs'!B1375="","",'Model inputs'!B1375&gt;0))="",FALSE,IF(ISERROR('Model inputs'!B1375&gt;0),'Model inputs'!B1375&gt;0,IF('Model inputs'!B1375="","",'Model inputs'!B1375&gt;0))),1,0)</f>
        <v>1</v>
      </c>
      <c r="S46" s="9">
        <f>IF(IF(IF(ISERROR('Model inputs'!B1409&gt;0),'Model inputs'!B1409&gt;0,IF('Model inputs'!B1409="","",'Model inputs'!B1409&gt;0))="",FALSE,IF(ISERROR('Model inputs'!B1409&gt;0),'Model inputs'!B1409&gt;0,IF('Model inputs'!B1409="","",'Model inputs'!B1409&gt;0))),1,0)</f>
        <v>1</v>
      </c>
      <c r="T46" s="9">
        <f>IF(IF(IF(ISERROR('Model inputs'!B1443&gt;0),'Model inputs'!B1443&gt;0,IF('Model inputs'!B1443="","",'Model inputs'!B1443&gt;0))="",FALSE,IF(ISERROR('Model inputs'!B1443&gt;0),'Model inputs'!B1443&gt;0,IF('Model inputs'!B1443="","",'Model inputs'!B1443&gt;0))),1,0)</f>
        <v>1</v>
      </c>
      <c r="U46" s="9">
        <f>IF(IF(IF(ISERROR('Model inputs'!B1477&gt;0),'Model inputs'!B1477&gt;0,IF('Model inputs'!B1477="","",'Model inputs'!B1477&gt;0))="",FALSE,IF(ISERROR('Model inputs'!B1477&gt;0),'Model inputs'!B1477&gt;0,IF('Model inputs'!B1477="","",'Model inputs'!B1477&gt;0))),1,0)</f>
        <v>1</v>
      </c>
      <c r="V46" s="9">
        <f>IF(IF(IF(ISERROR('Model inputs'!B1511&gt;0),'Model inputs'!B1511&gt;0,IF('Model inputs'!B1511="","",'Model inputs'!B1511&gt;0))="",FALSE,IF(ISERROR('Model inputs'!B1511&gt;0),'Model inputs'!B1511&gt;0,IF('Model inputs'!B1511="","",'Model inputs'!B1511&gt;0))),1,0)</f>
        <v>1</v>
      </c>
      <c r="W46" s="9">
        <f>IF(IF(IF(ISERROR('Model inputs'!B1545&gt;0),'Model inputs'!B1545&gt;0,IF('Model inputs'!B1545="","",'Model inputs'!B1545&gt;0))="",FALSE,IF(ISERROR('Model inputs'!B1545&gt;0),'Model inputs'!B1545&gt;0,IF('Model inputs'!B1545="","",'Model inputs'!B1545&gt;0))),1,0)</f>
        <v>1</v>
      </c>
      <c r="X46" s="9">
        <f>IF(IF(IF(ISERROR('Model inputs'!B1579&gt;0),'Model inputs'!B1579&gt;0,IF('Model inputs'!B1579="","",'Model inputs'!B1579&gt;0))="",FALSE,IF(ISERROR('Model inputs'!B1579&gt;0),'Model inputs'!B1579&gt;0,IF('Model inputs'!B1579="","",'Model inputs'!B1579&gt;0))),1,0)</f>
        <v>1</v>
      </c>
      <c r="Y46" s="9">
        <f>IF(IF(IF(ISERROR('Model inputs'!B1613&gt;0),'Model inputs'!B1613&gt;0,IF('Model inputs'!B1613="","",'Model inputs'!B1613&gt;0))="",FALSE,IF(ISERROR('Model inputs'!B1613&gt;0),'Model inputs'!B1613&gt;0,IF('Model inputs'!B1613="","",'Model inputs'!B1613&gt;0))),1,0)</f>
        <v>1</v>
      </c>
      <c r="Z46" s="9">
        <f>IF(IF(IF(ISERROR('Model inputs'!B1647&gt;0),'Model inputs'!B1647&gt;0,IF('Model inputs'!B1647="","",'Model inputs'!B1647&gt;0))="",FALSE,IF(ISERROR('Model inputs'!B1647&gt;0),'Model inputs'!B1647&gt;0,IF('Model inputs'!B1647="","",'Model inputs'!B1647&gt;0))),1,0)</f>
        <v>0</v>
      </c>
      <c r="AA46" s="9">
        <f>IF(IF(IF(ISERROR('Model inputs'!B1681&gt;0),'Model inputs'!B1681&gt;0,IF('Model inputs'!B1681="","",'Model inputs'!B1681&gt;0))="",FALSE,IF(ISERROR('Model inputs'!B1681&gt;0),'Model inputs'!B1681&gt;0,IF('Model inputs'!B1681="","",'Model inputs'!B1681&gt;0))),1,0)</f>
        <v>0</v>
      </c>
      <c r="AB46" s="9">
        <f>IF(IF(IF(ISERROR('Model inputs'!B1715&gt;0),'Model inputs'!B1715&gt;0,IF('Model inputs'!B1715="","",'Model inputs'!B1715&gt;0))="",FALSE,IF(ISERROR('Model inputs'!B1715&gt;0),'Model inputs'!B1715&gt;0,IF('Model inputs'!B1715="","",'Model inputs'!B1715&gt;0))),1,0)</f>
        <v>0</v>
      </c>
      <c r="AC46" s="9">
        <f>IF(IF(IF(ISERROR('Model inputs'!B1749&gt;0),'Model inputs'!B1749&gt;0,IF('Model inputs'!B1749="","",'Model inputs'!B1749&gt;0))="",FALSE,IF(ISERROR('Model inputs'!B1749&gt;0),'Model inputs'!B1749&gt;0,IF('Model inputs'!B1749="","",'Model inputs'!B1749&gt;0))),1,0)</f>
        <v>0</v>
      </c>
      <c r="AD46" s="9">
        <f>IF(IF(IF(ISERROR('Model inputs'!B1783&gt;0),'Model inputs'!B1783&gt;0,IF('Model inputs'!B1783="","",'Model inputs'!B1783&gt;0))="",FALSE,IF(ISERROR('Model inputs'!B1783&gt;0),'Model inputs'!B1783&gt;0,IF('Model inputs'!B1783="","",'Model inputs'!B1783&gt;0))),1,0)</f>
        <v>0</v>
      </c>
      <c r="AE46" s="9">
        <f>IF(IF(IF(ISERROR('Model inputs'!B1817&gt;0),'Model inputs'!B1817&gt;0,IF('Model inputs'!B1817="","",'Model inputs'!B1817&gt;0))="",FALSE,IF(ISERROR('Model inputs'!B1817&gt;0),'Model inputs'!B1817&gt;0,IF('Model inputs'!B1817="","",'Model inputs'!B1817&gt;0))),1,0)</f>
        <v>0</v>
      </c>
      <c r="AF46" s="9">
        <f>IF(IF(IF(ISERROR('Model inputs'!B1851&gt;0),'Model inputs'!B1851&gt;0,IF('Model inputs'!B1851="","",'Model inputs'!B1851&gt;0))="",FALSE,IF(ISERROR('Model inputs'!B1851&gt;0),'Model inputs'!B1851&gt;0,IF('Model inputs'!B1851="","",'Model inputs'!B1851&gt;0))),1,0)</f>
        <v>0</v>
      </c>
      <c r="AG46" s="9">
        <f>IF(IF(IF(ISERROR('Model inputs'!B1885&gt;0),'Model inputs'!B1885&gt;0,IF('Model inputs'!B1885="","",'Model inputs'!B1885&gt;0))="",FALSE,IF(ISERROR('Model inputs'!B1885&gt;0),'Model inputs'!B1885&gt;0,IF('Model inputs'!B1885="","",'Model inputs'!B1885&gt;0))),1,0)</f>
        <v>0</v>
      </c>
      <c r="AH46" s="9">
        <f>IF(IF(IF(ISERROR('Model inputs'!B1919&gt;0),'Model inputs'!B1919&gt;0,IF('Model inputs'!B1919="","",'Model inputs'!B1919&gt;0))="",FALSE,IF(ISERROR('Model inputs'!B1919&gt;0),'Model inputs'!B1919&gt;0,IF('Model inputs'!B1919="","",'Model inputs'!B1919&gt;0))),1,0)</f>
        <v>0</v>
      </c>
      <c r="AI46" s="9">
        <f>IF(IF(IF(ISERROR('Model inputs'!B1953&gt;0),'Model inputs'!B1953&gt;0,IF('Model inputs'!B1953="","",'Model inputs'!B1953&gt;0))="",FALSE,IF(ISERROR('Model inputs'!B1953&gt;0),'Model inputs'!B1953&gt;0,IF('Model inputs'!B1953="","",'Model inputs'!B1953&gt;0))),1,0)</f>
        <v>0</v>
      </c>
      <c r="AJ46" s="9">
        <f>IF(IF(IF(ISERROR('Model inputs'!B1987&gt;0),'Model inputs'!B1987&gt;0,IF('Model inputs'!B1987="","",'Model inputs'!B1987&gt;0))="",FALSE,IF(ISERROR('Model inputs'!B1987&gt;0),'Model inputs'!B1987&gt;0,IF('Model inputs'!B1987="","",'Model inputs'!B1987&gt;0))),1,0)</f>
        <v>0</v>
      </c>
    </row>
    <row r="47">
      <c r="A47" t="inlineStr" s="21">
        <is>
          <t xml:space="preserve">Gross profit · Monthly forecast and cash · Main Scenario</t>
        </is>
      </c>
      <c r="D47" s="10">
        <v>0</v>
      </c>
      <c r="E47" s="10">
        <v>0</v>
      </c>
      <c r="F47" s="10">
        <v>0</v>
      </c>
      <c r="G47" s="10">
        <v>0</v>
      </c>
      <c r="H47" s="10">
        <v>0</v>
      </c>
      <c r="I47" s="10">
        <v>0</v>
      </c>
      <c r="J47" s="10">
        <v>0</v>
      </c>
      <c r="K47" s="10">
        <v>0</v>
      </c>
      <c r="L47" s="10">
        <v>0</v>
      </c>
      <c r="M47" s="10">
        <f>'Model inputs'!M67-'Model inputs'!M104</f>
        <v>-45</v>
      </c>
      <c r="N47" s="10">
        <f>'Model inputs'!N67-'Model inputs'!N104</f>
        <v>360</v>
      </c>
      <c r="O47" s="10">
        <f>'Model inputs'!O67-'Model inputs'!O104</f>
        <v>765</v>
      </c>
      <c r="P47" s="10">
        <f>'Model inputs'!P67-'Model inputs'!P104</f>
        <v>1170</v>
      </c>
      <c r="Q47" s="10">
        <f>'Model inputs'!Q67-'Model inputs'!Q104</f>
        <v>1575</v>
      </c>
      <c r="R47" s="10">
        <f>'Model inputs'!R67-'Model inputs'!R104</f>
        <v>1980</v>
      </c>
      <c r="S47" s="10">
        <f>'Model inputs'!S67-'Model inputs'!S104</f>
        <v>2385</v>
      </c>
      <c r="T47" s="10">
        <f>'Model inputs'!T67-'Model inputs'!T104</f>
        <v>2790</v>
      </c>
      <c r="U47" s="10">
        <f>'Model inputs'!U67-'Model inputs'!U104</f>
        <v>3195</v>
      </c>
      <c r="V47" s="10">
        <f>'Model inputs'!V67-'Model inputs'!V104</f>
        <v>3600</v>
      </c>
      <c r="W47" s="10">
        <f>'Model inputs'!W67-'Model inputs'!W104</f>
        <v>4005</v>
      </c>
      <c r="X47" s="10">
        <f>'Model inputs'!X67-'Model inputs'!X104</f>
        <v>4410</v>
      </c>
      <c r="Y47" s="10">
        <f>'Model inputs'!Y67-'Model inputs'!Y104</f>
        <v>4815</v>
      </c>
      <c r="Z47" s="10">
        <f>'Model inputs'!Z67-'Model inputs'!Z104</f>
        <v>5220</v>
      </c>
      <c r="AA47" s="10">
        <f>'Model inputs'!AA67-'Model inputs'!AA104</f>
        <v>5625</v>
      </c>
      <c r="AB47" s="10">
        <f>'Model inputs'!AB67-'Model inputs'!AB104</f>
        <v>6030</v>
      </c>
      <c r="AC47" s="10">
        <f>'Model inputs'!AC67-'Model inputs'!AC104</f>
        <v>6435</v>
      </c>
      <c r="AD47" s="10">
        <f>'Model inputs'!AD67-'Model inputs'!AD104</f>
        <v>6840</v>
      </c>
      <c r="AE47" s="10">
        <f>'Model inputs'!AE67-'Model inputs'!AE104</f>
        <v>7245</v>
      </c>
      <c r="AF47" s="10">
        <f>'Model inputs'!AF67-'Model inputs'!AF104</f>
        <v>7650</v>
      </c>
      <c r="AG47" s="10">
        <f>'Model inputs'!AG67-'Model inputs'!AG104</f>
        <v>8055</v>
      </c>
      <c r="AH47" s="10">
        <f>'Model inputs'!AH67-'Model inputs'!AH104</f>
        <v>8460</v>
      </c>
      <c r="AI47" s="10">
        <f>'Model inputs'!AI67-'Model inputs'!AI104</f>
        <v>8865</v>
      </c>
      <c r="AJ47" s="10">
        <f>'Model inputs'!AJ67-'Model inputs'!AJ104</f>
        <v>9270</v>
      </c>
    </row>
    <row r="48">
      <c r="A48" t="inlineStr" s="21">
        <is>
          <t xml:space="preserve">Gross profit · AgentBisect — 100 teams at month 12</t>
        </is>
      </c>
      <c r="L48" s="10">
        <v>0</v>
      </c>
      <c r="M48" s="10">
        <f>'Model inputs'!M144-'Model inputs'!M118</f>
        <v>198</v>
      </c>
      <c r="N48" s="10">
        <f>'Model inputs'!N144-'Model inputs'!N118</f>
        <v>927</v>
      </c>
      <c r="O48" s="10">
        <f>'Model inputs'!O144-'Model inputs'!O118</f>
        <v>1575</v>
      </c>
      <c r="P48" s="10">
        <f>'Model inputs'!P144-'Model inputs'!P118</f>
        <v>2223</v>
      </c>
      <c r="Q48" s="10">
        <f>'Model inputs'!Q144-'Model inputs'!Q118</f>
        <v>2952</v>
      </c>
      <c r="R48" s="10">
        <f>'Model inputs'!R144-'Model inputs'!R118</f>
        <v>3600</v>
      </c>
      <c r="S48" s="10">
        <f>'Model inputs'!S144-'Model inputs'!S118</f>
        <v>4248</v>
      </c>
      <c r="T48" s="10">
        <f>'Model inputs'!T144-'Model inputs'!T118</f>
        <v>4977</v>
      </c>
      <c r="U48" s="10">
        <f>'Model inputs'!U144-'Model inputs'!U118</f>
        <v>5625</v>
      </c>
      <c r="V48" s="10">
        <f>'Model inputs'!V144-'Model inputs'!V118</f>
        <v>6273</v>
      </c>
      <c r="W48" s="10">
        <f>'Model inputs'!W144-'Model inputs'!W118</f>
        <v>7002</v>
      </c>
      <c r="X48" s="10">
        <f>'Model inputs'!X70-'Model inputs'!X118</f>
        <v>7650</v>
      </c>
    </row>
    <row r="49">
      <c r="A49" t="inlineStr" s="21">
        <is>
          <t xml:space="preserve">Gross profit · AgentBisect — 20 teams at month 12</t>
        </is>
      </c>
      <c r="L49" s="10">
        <v>0</v>
      </c>
      <c r="M49" s="10">
        <f>'Model inputs'!M147-'Model inputs'!M119</f>
        <v>-288</v>
      </c>
      <c r="N49" s="10">
        <f>'Model inputs'!N147-'Model inputs'!N119</f>
        <v>-207</v>
      </c>
      <c r="O49" s="10">
        <f>'Model inputs'!O147-'Model inputs'!O119</f>
        <v>-45</v>
      </c>
      <c r="P49" s="10">
        <f>'Model inputs'!P147-'Model inputs'!P119</f>
        <v>117</v>
      </c>
      <c r="Q49" s="10">
        <f>'Model inputs'!Q147-'Model inputs'!Q119</f>
        <v>198</v>
      </c>
      <c r="R49" s="10">
        <f>'Model inputs'!R147-'Model inputs'!R119</f>
        <v>360</v>
      </c>
      <c r="S49" s="10">
        <f>'Model inputs'!S147-'Model inputs'!S119</f>
        <v>522</v>
      </c>
      <c r="T49" s="10">
        <f>'Model inputs'!T147-'Model inputs'!T119</f>
        <v>603</v>
      </c>
      <c r="U49" s="10">
        <f>'Model inputs'!U147-'Model inputs'!U119</f>
        <v>765</v>
      </c>
      <c r="V49" s="10">
        <f>'Model inputs'!V147-'Model inputs'!V119</f>
        <v>927</v>
      </c>
      <c r="W49" s="10">
        <f>'Model inputs'!W147-'Model inputs'!W119</f>
        <v>1008</v>
      </c>
      <c r="X49" s="10">
        <f>'Model inputs'!X73-'Model inputs'!X119</f>
        <v>1170</v>
      </c>
    </row>
    <row r="50">
      <c r="A50" t="inlineStr" s="21">
        <is>
          <t xml:space="preserve">Gross profit · AgentBisect — 300 teams at month 12</t>
        </is>
      </c>
      <c r="L50" s="10">
        <v>0</v>
      </c>
      <c r="M50" s="10">
        <f>'Model inputs'!M150-'Model inputs'!M120</f>
        <v>1575</v>
      </c>
      <c r="N50" s="10">
        <f>'Model inputs'!N150-'Model inputs'!N120</f>
        <v>3600</v>
      </c>
      <c r="O50" s="10">
        <f>'Model inputs'!O150-'Model inputs'!O120</f>
        <v>5625</v>
      </c>
      <c r="P50" s="10">
        <f>'Model inputs'!P150-'Model inputs'!P120</f>
        <v>7650</v>
      </c>
      <c r="Q50" s="10">
        <f>'Model inputs'!Q150-'Model inputs'!Q120</f>
        <v>9675</v>
      </c>
      <c r="R50" s="10">
        <f>'Model inputs'!R150-'Model inputs'!R120</f>
        <v>11700</v>
      </c>
      <c r="S50" s="10">
        <f>'Model inputs'!S150-'Model inputs'!S120</f>
        <v>13725</v>
      </c>
      <c r="T50" s="10">
        <f>'Model inputs'!T150-'Model inputs'!T120</f>
        <v>15750</v>
      </c>
      <c r="U50" s="10">
        <f>'Model inputs'!U150-'Model inputs'!U120</f>
        <v>17775</v>
      </c>
      <c r="V50" s="10">
        <f>'Model inputs'!V150-'Model inputs'!V120</f>
        <v>19800</v>
      </c>
      <c r="W50" s="10">
        <f>'Model inputs'!W150-'Model inputs'!W120</f>
        <v>21825</v>
      </c>
      <c r="X50" s="10">
        <f>'Model inputs'!X76-'Model inputs'!X120</f>
        <v>23850</v>
      </c>
    </row>
    <row r="51">
      <c r="A51" t="inlineStr" s="21">
        <is>
          <t xml:space="preserve">Model cost per investigation · Unit economics by plan</t>
        </is>
      </c>
      <c r="B51" s="8">
        <f>'Editable assumptions'!B5</f>
        <v>0.25</v>
      </c>
    </row>
    <row r="52">
      <c r="A52" t="inlineStr" s="21">
        <is>
          <t xml:space="preserve">Model cost per investigation · Monthly forecast and cash</t>
        </is>
      </c>
      <c r="C52" s="8">
        <f>'Editable assumptions'!B5</f>
        <v>0.25</v>
      </c>
    </row>
    <row r="53">
      <c r="A53" t="inlineStr" s="21">
        <is>
          <t xml:space="preserve">Month 12 paying team target · AgentBisect — 100 teams at month 12</t>
        </is>
      </c>
      <c r="C53" s="9">
        <f>100</f>
        <v>100</v>
      </c>
    </row>
    <row r="54">
      <c r="A54" t="inlineStr" s="21">
        <is>
          <t xml:space="preserve">Month 12 paying team target · AgentBisect — 20 teams at month 12</t>
        </is>
      </c>
      <c r="C54" s="9">
        <f>20</f>
        <v>20</v>
      </c>
    </row>
    <row r="55">
      <c r="A55" t="inlineStr" s="21">
        <is>
          <t xml:space="preserve">Month 12 paying team target · AgentBisect — 300 teams at month 12</t>
        </is>
      </c>
      <c r="C55" s="9">
        <f>300</f>
        <v>300</v>
      </c>
    </row>
    <row r="56">
      <c r="A56" t="inlineStr" s="21">
        <is>
          <t xml:space="preserve">Net cash flow · Monthly forecast and cash · Main Scenario</t>
        </is>
      </c>
      <c r="D56" s="10">
        <v>0</v>
      </c>
      <c r="E56" s="10">
        <v>0</v>
      </c>
      <c r="F56" s="10">
        <v>0</v>
      </c>
      <c r="G56" s="10">
        <v>0</v>
      </c>
      <c r="H56" s="10">
        <v>0</v>
      </c>
      <c r="I56" s="10">
        <v>0</v>
      </c>
      <c r="J56" s="10">
        <v>0</v>
      </c>
      <c r="K56" s="10">
        <v>0</v>
      </c>
      <c r="L56" s="10">
        <v>0</v>
      </c>
      <c r="M56" s="10">
        <f>IF('Model inputs'!M103="","",'Model inputs'!M103)</f>
        <v>-45</v>
      </c>
      <c r="N56" s="10">
        <f>IF('Model inputs'!N103="","",'Model inputs'!N103)</f>
        <v>360</v>
      </c>
      <c r="O56" s="10">
        <f>IF('Model inputs'!O103="","",'Model inputs'!O103)</f>
        <v>765</v>
      </c>
      <c r="P56" s="10">
        <f>IF('Model inputs'!P103="","",'Model inputs'!P103)</f>
        <v>1170</v>
      </c>
      <c r="Q56" s="10">
        <f>IF('Model inputs'!Q103="","",'Model inputs'!Q103)</f>
        <v>1575</v>
      </c>
      <c r="R56" s="10">
        <f>IF('Model inputs'!R103="","",'Model inputs'!R103)</f>
        <v>1980</v>
      </c>
      <c r="S56" s="10">
        <f>IF('Model inputs'!S103="","",'Model inputs'!S103)</f>
        <v>-5615</v>
      </c>
      <c r="T56" s="10">
        <f>IF('Model inputs'!T103="","",'Model inputs'!T103)</f>
        <v>-5210</v>
      </c>
      <c r="U56" s="10">
        <f>IF('Model inputs'!U103="","",'Model inputs'!U103)</f>
        <v>-4805</v>
      </c>
      <c r="V56" s="10">
        <f>IF('Model inputs'!V103="","",'Model inputs'!V103)</f>
        <v>-4400</v>
      </c>
      <c r="W56" s="10">
        <f>IF('Model inputs'!W103="","",'Model inputs'!W103)</f>
        <v>-3995</v>
      </c>
      <c r="X56" s="10">
        <f>IF('Model inputs'!X103="","",'Model inputs'!X103)</f>
        <v>-3590</v>
      </c>
      <c r="Y56" s="10">
        <f>IF('Model inputs'!Y103="","",'Model inputs'!Y103)</f>
        <v>-3185</v>
      </c>
      <c r="Z56" s="10">
        <f>IF('Model inputs'!Z103="","",'Model inputs'!Z103)</f>
        <v>-2780</v>
      </c>
      <c r="AA56" s="10">
        <f>IF('Model inputs'!AA103="","",'Model inputs'!AA103)</f>
        <v>-2375</v>
      </c>
      <c r="AB56" s="10">
        <f>IF('Model inputs'!AB103="","",'Model inputs'!AB103)</f>
        <v>-1970</v>
      </c>
      <c r="AC56" s="10">
        <f>IF('Model inputs'!AC103="","",'Model inputs'!AC103)</f>
        <v>-1565</v>
      </c>
      <c r="AD56" s="10">
        <f>IF('Model inputs'!AD103="","",'Model inputs'!AD103)</f>
        <v>-1160</v>
      </c>
      <c r="AE56" s="10">
        <f>IF('Model inputs'!AE103="","",'Model inputs'!AE103)</f>
        <v>-755</v>
      </c>
      <c r="AF56" s="10">
        <f>IF('Model inputs'!AF103="","",'Model inputs'!AF103)</f>
        <v>-350</v>
      </c>
      <c r="AG56" s="10">
        <f>IF('Model inputs'!AG103="","",'Model inputs'!AG103)</f>
        <v>55</v>
      </c>
      <c r="AH56" s="10">
        <f>IF('Model inputs'!AH103="","",'Model inputs'!AH103)</f>
        <v>460</v>
      </c>
      <c r="AI56" s="10">
        <f>IF('Model inputs'!AI103="","",'Model inputs'!AI103)</f>
        <v>865</v>
      </c>
      <c r="AJ56" s="10">
        <f>IF('Model inputs'!AJ103="","",'Model inputs'!AJ103)</f>
        <v>1270</v>
      </c>
    </row>
    <row r="57">
      <c r="A57" t="inlineStr" s="21">
        <is>
          <t xml:space="preserve">Net cash flow · AgentBisect — 100 teams at month 12</t>
        </is>
      </c>
      <c r="L57" s="10">
        <v>0</v>
      </c>
      <c r="M57" s="10">
        <f>IF('Model inputs'!M135="","",'Model inputs'!M135)</f>
        <v>198</v>
      </c>
      <c r="N57" s="10">
        <f>IF('Model inputs'!N135="","",'Model inputs'!N135)</f>
        <v>927</v>
      </c>
      <c r="O57" s="10">
        <f>IF('Model inputs'!O135="","",'Model inputs'!O135)</f>
        <v>1575</v>
      </c>
      <c r="P57" s="10">
        <f>IF('Model inputs'!P135="","",'Model inputs'!P135)</f>
        <v>2223</v>
      </c>
      <c r="Q57" s="10">
        <f>IF('Model inputs'!Q135="","",'Model inputs'!Q135)</f>
        <v>2952</v>
      </c>
      <c r="R57" s="10">
        <f>IF('Model inputs'!R135="","",'Model inputs'!R135)</f>
        <v>3600</v>
      </c>
      <c r="S57" s="10">
        <f>IF('Model inputs'!S135="","",'Model inputs'!S135)</f>
        <v>-3752</v>
      </c>
      <c r="T57" s="10">
        <f>IF('Model inputs'!T135="","",'Model inputs'!T135)</f>
        <v>-3023</v>
      </c>
      <c r="U57" s="10">
        <f>IF('Model inputs'!U135="","",'Model inputs'!U135)</f>
        <v>-2375</v>
      </c>
      <c r="V57" s="10">
        <f>IF('Model inputs'!V135="","",'Model inputs'!V135)</f>
        <v>-1727</v>
      </c>
      <c r="W57" s="10">
        <f>IF('Model inputs'!W135="","",'Model inputs'!W135)</f>
        <v>-998</v>
      </c>
      <c r="X57" s="10">
        <f>IF('Model inputs'!X135="","",'Model inputs'!X135)</f>
        <v>-350</v>
      </c>
    </row>
    <row r="58">
      <c r="A58" t="inlineStr" s="21">
        <is>
          <t xml:space="preserve">Net cash flow · AgentBisect — 20 teams at month 12</t>
        </is>
      </c>
      <c r="L58" s="10">
        <v>0</v>
      </c>
      <c r="M58" s="10">
        <f>IF('Model inputs'!M136="","",'Model inputs'!M136)</f>
        <v>-288</v>
      </c>
      <c r="N58" s="10">
        <f>IF('Model inputs'!N136="","",'Model inputs'!N136)</f>
        <v>-207</v>
      </c>
      <c r="O58" s="10">
        <f>IF('Model inputs'!O136="","",'Model inputs'!O136)</f>
        <v>-45</v>
      </c>
      <c r="P58" s="10">
        <f>IF('Model inputs'!P136="","",'Model inputs'!P136)</f>
        <v>117</v>
      </c>
      <c r="Q58" s="10">
        <f>IF('Model inputs'!Q136="","",'Model inputs'!Q136)</f>
        <v>198</v>
      </c>
      <c r="R58" s="10">
        <f>IF('Model inputs'!R136="","",'Model inputs'!R136)</f>
        <v>360</v>
      </c>
      <c r="S58" s="10">
        <f>IF('Model inputs'!S136="","",'Model inputs'!S136)</f>
        <v>-7478</v>
      </c>
      <c r="T58" s="10">
        <f>IF('Model inputs'!T136="","",'Model inputs'!T136)</f>
        <v>-7397</v>
      </c>
      <c r="U58" s="10">
        <f>IF('Model inputs'!U136="","",'Model inputs'!U136)</f>
        <v>-7235</v>
      </c>
      <c r="V58" s="10">
        <f>IF('Model inputs'!V136="","",'Model inputs'!V136)</f>
        <v>-7073</v>
      </c>
      <c r="W58" s="10">
        <f>IF('Model inputs'!W136="","",'Model inputs'!W136)</f>
        <v>-6992</v>
      </c>
      <c r="X58" s="10">
        <f>IF('Model inputs'!X136="","",'Model inputs'!X136)</f>
        <v>-6830</v>
      </c>
    </row>
    <row r="59">
      <c r="A59" t="inlineStr" s="21">
        <is>
          <t xml:space="preserve">Net cash flow · AgentBisect — 300 teams at month 12</t>
        </is>
      </c>
      <c r="L59" s="10">
        <v>0</v>
      </c>
      <c r="M59" s="10">
        <f>IF('Model inputs'!M137="","",'Model inputs'!M137)</f>
        <v>1575</v>
      </c>
      <c r="N59" s="10">
        <f>IF('Model inputs'!N137="","",'Model inputs'!N137)</f>
        <v>3600</v>
      </c>
      <c r="O59" s="10">
        <f>IF('Model inputs'!O137="","",'Model inputs'!O137)</f>
        <v>5625</v>
      </c>
      <c r="P59" s="10">
        <f>IF('Model inputs'!P137="","",'Model inputs'!P137)</f>
        <v>7650</v>
      </c>
      <c r="Q59" s="10">
        <f>IF('Model inputs'!Q137="","",'Model inputs'!Q137)</f>
        <v>9675</v>
      </c>
      <c r="R59" s="10">
        <f>IF('Model inputs'!R137="","",'Model inputs'!R137)</f>
        <v>11700</v>
      </c>
      <c r="S59" s="10">
        <f>IF('Model inputs'!S137="","",'Model inputs'!S137)</f>
        <v>5725</v>
      </c>
      <c r="T59" s="10">
        <f>IF('Model inputs'!T137="","",'Model inputs'!T137)</f>
        <v>7750</v>
      </c>
      <c r="U59" s="10">
        <f>IF('Model inputs'!U137="","",'Model inputs'!U137)</f>
        <v>9775</v>
      </c>
      <c r="V59" s="10">
        <f>IF('Model inputs'!V137="","",'Model inputs'!V137)</f>
        <v>11800</v>
      </c>
      <c r="W59" s="10">
        <f>IF('Model inputs'!W137="","",'Model inputs'!W137)</f>
        <v>13825</v>
      </c>
      <c r="X59" s="10">
        <f>IF('Model inputs'!X137="","",'Model inputs'!X137)</f>
        <v>15850</v>
      </c>
    </row>
    <row r="60">
      <c r="A60" t="inlineStr" s="21">
        <is>
          <t xml:space="preserve">Net new teams per month · Editable assumptions</t>
        </is>
      </c>
      <c r="B60" s="9">
        <f>'Editable assumptions'!B13</f>
        <v>5</v>
      </c>
    </row>
    <row r="61">
      <c r="A61" t="inlineStr" s="21">
        <is>
          <t xml:space="preserve">Net new teams per month · Monthly forecast and cash</t>
        </is>
      </c>
      <c r="C61" s="9">
        <f>'Editable assumptions'!B13</f>
        <v>5</v>
      </c>
    </row>
    <row r="62">
      <c r="A62" t="inlineStr" s="21">
        <is>
          <t xml:space="preserve">Opening paying teams · Editable assumptions · Main Scenario</t>
        </is>
      </c>
      <c r="B62" s="9">
        <f>'Editable assumptions'!B12</f>
        <v>0</v>
      </c>
    </row>
    <row r="63">
      <c r="A63" t="inlineStr" s="21">
        <is>
          <t xml:space="preserve">Opening paying teams · Monthly forecast and cash · Main Scenario</t>
        </is>
      </c>
      <c r="C63" s="9">
        <f>'Editable assumptions'!B12</f>
        <v>0</v>
      </c>
    </row>
    <row r="64">
      <c r="A64" t="inlineStr" s="21">
        <is>
          <t xml:space="preserve">Opening paying teams · AgentBisect — 100 teams at month 12</t>
        </is>
      </c>
      <c r="C64" s="9">
        <f>'Editable assumptions'!B12</f>
        <v>0</v>
      </c>
    </row>
    <row r="65">
      <c r="A65" t="inlineStr" s="21">
        <is>
          <t xml:space="preserve">Opening paying teams · AgentBisect — 20 teams at month 12</t>
        </is>
      </c>
      <c r="C65" s="9">
        <f>'Editable assumptions'!B12</f>
        <v>0</v>
      </c>
    </row>
    <row r="66">
      <c r="A66" t="inlineStr" s="21">
        <is>
          <t xml:space="preserve">Opening paying teams · AgentBisect — 300 teams at month 12</t>
        </is>
      </c>
      <c r="C66" s="9">
        <f>'Editable assumptions'!B12</f>
        <v>0</v>
      </c>
    </row>
    <row r="67">
      <c r="A67" t="inlineStr" s="21">
        <is>
          <t xml:space="preserve">Revenue</t>
        </is>
      </c>
      <c r="L67" s="13">
        <f>SUM('Model inputs'!L68,'Model inputs'!L69)</f>
        <v>0</v>
      </c>
      <c r="M67" s="13">
        <f>SUM('Model inputs'!M68,'Model inputs'!M69)</f>
        <v>495</v>
      </c>
      <c r="N67" s="13">
        <f>SUM('Model inputs'!N68,'Model inputs'!N69)</f>
        <v>990</v>
      </c>
      <c r="O67" s="13">
        <f>SUM('Model inputs'!O68,'Model inputs'!O69)</f>
        <v>1485</v>
      </c>
      <c r="P67" s="13">
        <f>SUM('Model inputs'!P68,'Model inputs'!P69)</f>
        <v>1980</v>
      </c>
      <c r="Q67" s="13">
        <f>SUM('Model inputs'!Q68,'Model inputs'!Q69)</f>
        <v>2475</v>
      </c>
      <c r="R67" s="13">
        <f>SUM('Model inputs'!R68,'Model inputs'!R69)</f>
        <v>2970</v>
      </c>
      <c r="S67" s="13">
        <f>SUM('Model inputs'!S68,'Model inputs'!S69)</f>
        <v>3465</v>
      </c>
      <c r="T67" s="13">
        <f>SUM('Model inputs'!T68,'Model inputs'!T69)</f>
        <v>3960</v>
      </c>
      <c r="U67" s="13">
        <f>SUM('Model inputs'!U68,'Model inputs'!U69)</f>
        <v>4455</v>
      </c>
      <c r="V67" s="13">
        <f>SUM('Model inputs'!V68,'Model inputs'!V69)</f>
        <v>4950</v>
      </c>
      <c r="W67" s="13">
        <f>SUM('Model inputs'!W68,'Model inputs'!W69)</f>
        <v>5445</v>
      </c>
      <c r="X67" s="13">
        <f>SUM('Model inputs'!X68,'Model inputs'!X69)</f>
        <v>5940</v>
      </c>
      <c r="Y67" s="13">
        <f>SUM('Model inputs'!Y68,'Model inputs'!Y69)</f>
        <v>6435</v>
      </c>
      <c r="Z67" s="13">
        <f>SUM('Model inputs'!Z68,'Model inputs'!Z69)</f>
        <v>6930</v>
      </c>
      <c r="AA67" s="13">
        <f>SUM('Model inputs'!AA68,'Model inputs'!AA69)</f>
        <v>7425</v>
      </c>
      <c r="AB67" s="13">
        <f>SUM('Model inputs'!AB68,'Model inputs'!AB69)</f>
        <v>7920</v>
      </c>
      <c r="AC67" s="13">
        <f>SUM('Model inputs'!AC68,'Model inputs'!AC69)</f>
        <v>8415</v>
      </c>
      <c r="AD67" s="13">
        <f>SUM('Model inputs'!AD68,'Model inputs'!AD69)</f>
        <v>8910</v>
      </c>
      <c r="AE67" s="13">
        <f>SUM('Model inputs'!AE68,'Model inputs'!AE69)</f>
        <v>9405</v>
      </c>
      <c r="AF67" s="13">
        <f>SUM('Model inputs'!AF68,'Model inputs'!AF69)</f>
        <v>9900</v>
      </c>
      <c r="AG67" s="13">
        <f>SUM('Model inputs'!AG68,'Model inputs'!AG69)</f>
        <v>10395</v>
      </c>
      <c r="AH67" s="13">
        <f>SUM('Model inputs'!AH68,'Model inputs'!AH69)</f>
        <v>10890</v>
      </c>
      <c r="AI67" s="13">
        <f>SUM('Model inputs'!AI68,'Model inputs'!AI69)</f>
        <v>11385</v>
      </c>
      <c r="AJ67" s="13">
        <f>SUM('Model inputs'!AJ68,'Model inputs'!AJ69)</f>
        <v>11880</v>
      </c>
    </row>
    <row r="68" outlineLevel="1">
      <c r="A68" t="inlineStr" s="22">
        <is>
          <t xml:space="preserve">Revenue &gt; Free</t>
        </is>
      </c>
      <c r="L68" s="10">
        <f>'Monthly forecast and cash'!B13</f>
        <v>0</v>
      </c>
      <c r="M68" s="10">
        <f>IF(IF(EXACT("Free","Team"),IF('Model inputs'!M113="","",'Model inputs'!M113),IF('Model inputs'!M105="","",'Model inputs'!M105))="",0,IF(EXACT("Free","Team"),IF('Model inputs'!M113="","",'Model inputs'!M113),IF('Model inputs'!M105="","",'Model inputs'!M105)))*'Model inputs'!B80</f>
        <v>0</v>
      </c>
      <c r="N68" s="10">
        <f>IF(IF(EXACT("Free","Team"),IF('Model inputs'!N113="","",'Model inputs'!N113),IF('Model inputs'!N105="","",'Model inputs'!N105))="",0,IF(EXACT("Free","Team"),IF('Model inputs'!N113="","",'Model inputs'!N113),IF('Model inputs'!N105="","",'Model inputs'!N105)))*'Model inputs'!B80</f>
        <v>0</v>
      </c>
      <c r="O68" s="10">
        <f>IF(IF(EXACT("Free","Team"),IF('Model inputs'!O113="","",'Model inputs'!O113),IF('Model inputs'!O105="","",'Model inputs'!O105))="",0,IF(EXACT("Free","Team"),IF('Model inputs'!O113="","",'Model inputs'!O113),IF('Model inputs'!O105="","",'Model inputs'!O105)))*'Model inputs'!B80</f>
        <v>0</v>
      </c>
      <c r="P68" s="10">
        <f>IF(IF(EXACT("Free","Team"),IF('Model inputs'!P113="","",'Model inputs'!P113),IF('Model inputs'!P105="","",'Model inputs'!P105))="",0,IF(EXACT("Free","Team"),IF('Model inputs'!P113="","",'Model inputs'!P113),IF('Model inputs'!P105="","",'Model inputs'!P105)))*'Model inputs'!B80</f>
        <v>0</v>
      </c>
      <c r="Q68" s="10">
        <f>IF(IF(EXACT("Free","Team"),IF('Model inputs'!Q113="","",'Model inputs'!Q113),IF('Model inputs'!Q105="","",'Model inputs'!Q105))="",0,IF(EXACT("Free","Team"),IF('Model inputs'!Q113="","",'Model inputs'!Q113),IF('Model inputs'!Q105="","",'Model inputs'!Q105)))*'Model inputs'!B80</f>
        <v>0</v>
      </c>
      <c r="R68" s="10">
        <f>IF(IF(EXACT("Free","Team"),IF('Model inputs'!R113="","",'Model inputs'!R113),IF('Model inputs'!R105="","",'Model inputs'!R105))="",0,IF(EXACT("Free","Team"),IF('Model inputs'!R113="","",'Model inputs'!R113),IF('Model inputs'!R105="","",'Model inputs'!R105)))*'Model inputs'!B80</f>
        <v>0</v>
      </c>
      <c r="S68" s="10">
        <f>IF(IF(EXACT("Free","Team"),IF('Model inputs'!S113="","",'Model inputs'!S113),IF('Model inputs'!S105="","",'Model inputs'!S105))="",0,IF(EXACT("Free","Team"),IF('Model inputs'!S113="","",'Model inputs'!S113),IF('Model inputs'!S105="","",'Model inputs'!S105)))*'Model inputs'!B80</f>
        <v>0</v>
      </c>
      <c r="T68" s="10">
        <f>IF(IF(EXACT("Free","Team"),IF('Model inputs'!T113="","",'Model inputs'!T113),IF('Model inputs'!T105="","",'Model inputs'!T105))="",0,IF(EXACT("Free","Team"),IF('Model inputs'!T113="","",'Model inputs'!T113),IF('Model inputs'!T105="","",'Model inputs'!T105)))*'Model inputs'!B80</f>
        <v>0</v>
      </c>
      <c r="U68" s="10">
        <f>IF(IF(EXACT("Free","Team"),IF('Model inputs'!U113="","",'Model inputs'!U113),IF('Model inputs'!U105="","",'Model inputs'!U105))="",0,IF(EXACT("Free","Team"),IF('Model inputs'!U113="","",'Model inputs'!U113),IF('Model inputs'!U105="","",'Model inputs'!U105)))*'Model inputs'!B80</f>
        <v>0</v>
      </c>
      <c r="V68" s="10">
        <f>IF(IF(EXACT("Free","Team"),IF('Model inputs'!V113="","",'Model inputs'!V113),IF('Model inputs'!V105="","",'Model inputs'!V105))="",0,IF(EXACT("Free","Team"),IF('Model inputs'!V113="","",'Model inputs'!V113),IF('Model inputs'!V105="","",'Model inputs'!V105)))*'Model inputs'!B80</f>
        <v>0</v>
      </c>
      <c r="W68" s="10">
        <f>IF(IF(EXACT("Free","Team"),IF('Model inputs'!W113="","",'Model inputs'!W113),IF('Model inputs'!W105="","",'Model inputs'!W105))="",0,IF(EXACT("Free","Team"),IF('Model inputs'!W113="","",'Model inputs'!W113),IF('Model inputs'!W105="","",'Model inputs'!W105)))*'Model inputs'!B80</f>
        <v>0</v>
      </c>
      <c r="X68" s="10">
        <f>IF(IF(EXACT("Free","Team"),IF('Model inputs'!X113="","",'Model inputs'!X113),IF('Model inputs'!X105="","",'Model inputs'!X105))="",0,IF(EXACT("Free","Team"),IF('Model inputs'!X113="","",'Model inputs'!X113),IF('Model inputs'!X105="","",'Model inputs'!X105)))*'Model inputs'!B80</f>
        <v>0</v>
      </c>
      <c r="Y68" s="10">
        <f>IF(IF(EXACT("Free","Team"),IF('Model inputs'!Y113="","",'Model inputs'!Y113),IF('Model inputs'!Y105="","",'Model inputs'!Y105))="",0,IF(EXACT("Free","Team"),IF('Model inputs'!Y113="","",'Model inputs'!Y113),IF('Model inputs'!Y105="","",'Model inputs'!Y105)))*'Model inputs'!B80</f>
        <v>0</v>
      </c>
      <c r="Z68" s="10">
        <f>IF(IF(EXACT("Free","Team"),IF('Model inputs'!Z113="","",'Model inputs'!Z113),IF('Model inputs'!Z105="","",'Model inputs'!Z105))="",0,IF(EXACT("Free","Team"),IF('Model inputs'!Z113="","",'Model inputs'!Z113),IF('Model inputs'!Z105="","",'Model inputs'!Z105)))*'Model inputs'!B80</f>
        <v>0</v>
      </c>
      <c r="AA68" s="10">
        <f>IF(IF(EXACT("Free","Team"),IF('Model inputs'!AA113="","",'Model inputs'!AA113),IF('Model inputs'!AA105="","",'Model inputs'!AA105))="",0,IF(EXACT("Free","Team"),IF('Model inputs'!AA113="","",'Model inputs'!AA113),IF('Model inputs'!AA105="","",'Model inputs'!AA105)))*'Model inputs'!B80</f>
        <v>0</v>
      </c>
      <c r="AB68" s="10">
        <f>IF(IF(EXACT("Free","Team"),IF('Model inputs'!AB113="","",'Model inputs'!AB113),IF('Model inputs'!AB105="","",'Model inputs'!AB105))="",0,IF(EXACT("Free","Team"),IF('Model inputs'!AB113="","",'Model inputs'!AB113),IF('Model inputs'!AB105="","",'Model inputs'!AB105)))*'Model inputs'!B80</f>
        <v>0</v>
      </c>
      <c r="AC68" s="10">
        <f>IF(IF(EXACT("Free","Team"),IF('Model inputs'!AC113="","",'Model inputs'!AC113),IF('Model inputs'!AC105="","",'Model inputs'!AC105))="",0,IF(EXACT("Free","Team"),IF('Model inputs'!AC113="","",'Model inputs'!AC113),IF('Model inputs'!AC105="","",'Model inputs'!AC105)))*'Model inputs'!B80</f>
        <v>0</v>
      </c>
      <c r="AD68" s="10">
        <f>IF(IF(EXACT("Free","Team"),IF('Model inputs'!AD113="","",'Model inputs'!AD113),IF('Model inputs'!AD105="","",'Model inputs'!AD105))="",0,IF(EXACT("Free","Team"),IF('Model inputs'!AD113="","",'Model inputs'!AD113),IF('Model inputs'!AD105="","",'Model inputs'!AD105)))*'Model inputs'!B80</f>
        <v>0</v>
      </c>
      <c r="AE68" s="10">
        <f>IF(IF(EXACT("Free","Team"),IF('Model inputs'!AE113="","",'Model inputs'!AE113),IF('Model inputs'!AE105="","",'Model inputs'!AE105))="",0,IF(EXACT("Free","Team"),IF('Model inputs'!AE113="","",'Model inputs'!AE113),IF('Model inputs'!AE105="","",'Model inputs'!AE105)))*'Model inputs'!B80</f>
        <v>0</v>
      </c>
      <c r="AF68" s="10">
        <f>IF(IF(EXACT("Free","Team"),IF('Model inputs'!AF113="","",'Model inputs'!AF113),IF('Model inputs'!AF105="","",'Model inputs'!AF105))="",0,IF(EXACT("Free","Team"),IF('Model inputs'!AF113="","",'Model inputs'!AF113),IF('Model inputs'!AF105="","",'Model inputs'!AF105)))*'Model inputs'!B80</f>
        <v>0</v>
      </c>
      <c r="AG68" s="10">
        <f>IF(IF(EXACT("Free","Team"),IF('Model inputs'!AG113="","",'Model inputs'!AG113),IF('Model inputs'!AG105="","",'Model inputs'!AG105))="",0,IF(EXACT("Free","Team"),IF('Model inputs'!AG113="","",'Model inputs'!AG113),IF('Model inputs'!AG105="","",'Model inputs'!AG105)))*'Model inputs'!B80</f>
        <v>0</v>
      </c>
      <c r="AH68" s="10">
        <f>IF(IF(EXACT("Free","Team"),IF('Model inputs'!AH113="","",'Model inputs'!AH113),IF('Model inputs'!AH105="","",'Model inputs'!AH105))="",0,IF(EXACT("Free","Team"),IF('Model inputs'!AH113="","",'Model inputs'!AH113),IF('Model inputs'!AH105="","",'Model inputs'!AH105)))*'Model inputs'!B80</f>
        <v>0</v>
      </c>
      <c r="AI68" s="10">
        <f>IF(IF(EXACT("Free","Team"),IF('Model inputs'!AI113="","",'Model inputs'!AI113),IF('Model inputs'!AI105="","",'Model inputs'!AI105))="",0,IF(EXACT("Free","Team"),IF('Model inputs'!AI113="","",'Model inputs'!AI113),IF('Model inputs'!AI105="","",'Model inputs'!AI105)))*'Model inputs'!B80</f>
        <v>0</v>
      </c>
      <c r="AJ68" s="10">
        <f>IF(IF(EXACT("Free","Team"),IF('Model inputs'!AJ113="","",'Model inputs'!AJ113),IF('Model inputs'!AJ105="","",'Model inputs'!AJ105))="",0,IF(EXACT("Free","Team"),IF('Model inputs'!AJ113="","",'Model inputs'!AJ113),IF('Model inputs'!AJ105="","",'Model inputs'!AJ105)))*'Model inputs'!B80</f>
        <v>0</v>
      </c>
    </row>
    <row r="69" outlineLevel="1">
      <c r="A69" t="inlineStr" s="22">
        <is>
          <t xml:space="preserve">Revenue &gt; Team</t>
        </is>
      </c>
      <c r="L69" s="10">
        <f>'Monthly forecast and cash'!B14</f>
        <v>0</v>
      </c>
      <c r="M69" s="10">
        <f>IF(IF(EXACT("Team","Team"),IF('Model inputs'!M113="","",'Model inputs'!M113),IF('Model inputs'!M105="","",'Model inputs'!M105))="",0,IF(EXACT("Team","Team"),IF('Model inputs'!M113="","",'Model inputs'!M113),IF('Model inputs'!M105="","",'Model inputs'!M105)))*'Model inputs'!B81</f>
        <v>495</v>
      </c>
      <c r="N69" s="10">
        <f>IF(IF(EXACT("Team","Team"),IF('Model inputs'!N113="","",'Model inputs'!N113),IF('Model inputs'!N105="","",'Model inputs'!N105))="",0,IF(EXACT("Team","Team"),IF('Model inputs'!N113="","",'Model inputs'!N113),IF('Model inputs'!N105="","",'Model inputs'!N105)))*'Model inputs'!B81</f>
        <v>990</v>
      </c>
      <c r="O69" s="10">
        <f>IF(IF(EXACT("Team","Team"),IF('Model inputs'!O113="","",'Model inputs'!O113),IF('Model inputs'!O105="","",'Model inputs'!O105))="",0,IF(EXACT("Team","Team"),IF('Model inputs'!O113="","",'Model inputs'!O113),IF('Model inputs'!O105="","",'Model inputs'!O105)))*'Model inputs'!B81</f>
        <v>1485</v>
      </c>
      <c r="P69" s="10">
        <f>IF(IF(EXACT("Team","Team"),IF('Model inputs'!P113="","",'Model inputs'!P113),IF('Model inputs'!P105="","",'Model inputs'!P105))="",0,IF(EXACT("Team","Team"),IF('Model inputs'!P113="","",'Model inputs'!P113),IF('Model inputs'!P105="","",'Model inputs'!P105)))*'Model inputs'!B81</f>
        <v>1980</v>
      </c>
      <c r="Q69" s="10">
        <f>IF(IF(EXACT("Team","Team"),IF('Model inputs'!Q113="","",'Model inputs'!Q113),IF('Model inputs'!Q105="","",'Model inputs'!Q105))="",0,IF(EXACT("Team","Team"),IF('Model inputs'!Q113="","",'Model inputs'!Q113),IF('Model inputs'!Q105="","",'Model inputs'!Q105)))*'Model inputs'!B81</f>
        <v>2475</v>
      </c>
      <c r="R69" s="10">
        <f>IF(IF(EXACT("Team","Team"),IF('Model inputs'!R113="","",'Model inputs'!R113),IF('Model inputs'!R105="","",'Model inputs'!R105))="",0,IF(EXACT("Team","Team"),IF('Model inputs'!R113="","",'Model inputs'!R113),IF('Model inputs'!R105="","",'Model inputs'!R105)))*'Model inputs'!B81</f>
        <v>2970</v>
      </c>
      <c r="S69" s="10">
        <f>IF(IF(EXACT("Team","Team"),IF('Model inputs'!S113="","",'Model inputs'!S113),IF('Model inputs'!S105="","",'Model inputs'!S105))="",0,IF(EXACT("Team","Team"),IF('Model inputs'!S113="","",'Model inputs'!S113),IF('Model inputs'!S105="","",'Model inputs'!S105)))*'Model inputs'!B81</f>
        <v>3465</v>
      </c>
      <c r="T69" s="10">
        <f>IF(IF(EXACT("Team","Team"),IF('Model inputs'!T113="","",'Model inputs'!T113),IF('Model inputs'!T105="","",'Model inputs'!T105))="",0,IF(EXACT("Team","Team"),IF('Model inputs'!T113="","",'Model inputs'!T113),IF('Model inputs'!T105="","",'Model inputs'!T105)))*'Model inputs'!B81</f>
        <v>3960</v>
      </c>
      <c r="U69" s="10">
        <f>IF(IF(EXACT("Team","Team"),IF('Model inputs'!U113="","",'Model inputs'!U113),IF('Model inputs'!U105="","",'Model inputs'!U105))="",0,IF(EXACT("Team","Team"),IF('Model inputs'!U113="","",'Model inputs'!U113),IF('Model inputs'!U105="","",'Model inputs'!U105)))*'Model inputs'!B81</f>
        <v>4455</v>
      </c>
      <c r="V69" s="10">
        <f>IF(IF(EXACT("Team","Team"),IF('Model inputs'!V113="","",'Model inputs'!V113),IF('Model inputs'!V105="","",'Model inputs'!V105))="",0,IF(EXACT("Team","Team"),IF('Model inputs'!V113="","",'Model inputs'!V113),IF('Model inputs'!V105="","",'Model inputs'!V105)))*'Model inputs'!B81</f>
        <v>4950</v>
      </c>
      <c r="W69" s="10">
        <f>IF(IF(EXACT("Team","Team"),IF('Model inputs'!W113="","",'Model inputs'!W113),IF('Model inputs'!W105="","",'Model inputs'!W105))="",0,IF(EXACT("Team","Team"),IF('Model inputs'!W113="","",'Model inputs'!W113),IF('Model inputs'!W105="","",'Model inputs'!W105)))*'Model inputs'!B81</f>
        <v>5445</v>
      </c>
      <c r="X69" s="10">
        <f>IF(IF(EXACT("Team","Team"),IF('Model inputs'!X113="","",'Model inputs'!X113),IF('Model inputs'!X105="","",'Model inputs'!X105))="",0,IF(EXACT("Team","Team"),IF('Model inputs'!X113="","",'Model inputs'!X113),IF('Model inputs'!X105="","",'Model inputs'!X105)))*'Model inputs'!B81</f>
        <v>5940</v>
      </c>
      <c r="Y69" s="10">
        <f>IF(IF(EXACT("Team","Team"),IF('Model inputs'!Y113="","",'Model inputs'!Y113),IF('Model inputs'!Y105="","",'Model inputs'!Y105))="",0,IF(EXACT("Team","Team"),IF('Model inputs'!Y113="","",'Model inputs'!Y113),IF('Model inputs'!Y105="","",'Model inputs'!Y105)))*'Model inputs'!B81</f>
        <v>6435</v>
      </c>
      <c r="Z69" s="10">
        <f>IF(IF(EXACT("Team","Team"),IF('Model inputs'!Z113="","",'Model inputs'!Z113),IF('Model inputs'!Z105="","",'Model inputs'!Z105))="",0,IF(EXACT("Team","Team"),IF('Model inputs'!Z113="","",'Model inputs'!Z113),IF('Model inputs'!Z105="","",'Model inputs'!Z105)))*'Model inputs'!B81</f>
        <v>6930</v>
      </c>
      <c r="AA69" s="10">
        <f>IF(IF(EXACT("Team","Team"),IF('Model inputs'!AA113="","",'Model inputs'!AA113),IF('Model inputs'!AA105="","",'Model inputs'!AA105))="",0,IF(EXACT("Team","Team"),IF('Model inputs'!AA113="","",'Model inputs'!AA113),IF('Model inputs'!AA105="","",'Model inputs'!AA105)))*'Model inputs'!B81</f>
        <v>7425</v>
      </c>
      <c r="AB69" s="10">
        <f>IF(IF(EXACT("Team","Team"),IF('Model inputs'!AB113="","",'Model inputs'!AB113),IF('Model inputs'!AB105="","",'Model inputs'!AB105))="",0,IF(EXACT("Team","Team"),IF('Model inputs'!AB113="","",'Model inputs'!AB113),IF('Model inputs'!AB105="","",'Model inputs'!AB105)))*'Model inputs'!B81</f>
        <v>7920</v>
      </c>
      <c r="AC69" s="10">
        <f>IF(IF(EXACT("Team","Team"),IF('Model inputs'!AC113="","",'Model inputs'!AC113),IF('Model inputs'!AC105="","",'Model inputs'!AC105))="",0,IF(EXACT("Team","Team"),IF('Model inputs'!AC113="","",'Model inputs'!AC113),IF('Model inputs'!AC105="","",'Model inputs'!AC105)))*'Model inputs'!B81</f>
        <v>8415</v>
      </c>
      <c r="AD69" s="10">
        <f>IF(IF(EXACT("Team","Team"),IF('Model inputs'!AD113="","",'Model inputs'!AD113),IF('Model inputs'!AD105="","",'Model inputs'!AD105))="",0,IF(EXACT("Team","Team"),IF('Model inputs'!AD113="","",'Model inputs'!AD113),IF('Model inputs'!AD105="","",'Model inputs'!AD105)))*'Model inputs'!B81</f>
        <v>8910</v>
      </c>
      <c r="AE69" s="10">
        <f>IF(IF(EXACT("Team","Team"),IF('Model inputs'!AE113="","",'Model inputs'!AE113),IF('Model inputs'!AE105="","",'Model inputs'!AE105))="",0,IF(EXACT("Team","Team"),IF('Model inputs'!AE113="","",'Model inputs'!AE113),IF('Model inputs'!AE105="","",'Model inputs'!AE105)))*'Model inputs'!B81</f>
        <v>9405</v>
      </c>
      <c r="AF69" s="10">
        <f>IF(IF(EXACT("Team","Team"),IF('Model inputs'!AF113="","",'Model inputs'!AF113),IF('Model inputs'!AF105="","",'Model inputs'!AF105))="",0,IF(EXACT("Team","Team"),IF('Model inputs'!AF113="","",'Model inputs'!AF113),IF('Model inputs'!AF105="","",'Model inputs'!AF105)))*'Model inputs'!B81</f>
        <v>9900</v>
      </c>
      <c r="AG69" s="10">
        <f>IF(IF(EXACT("Team","Team"),IF('Model inputs'!AG113="","",'Model inputs'!AG113),IF('Model inputs'!AG105="","",'Model inputs'!AG105))="",0,IF(EXACT("Team","Team"),IF('Model inputs'!AG113="","",'Model inputs'!AG113),IF('Model inputs'!AG105="","",'Model inputs'!AG105)))*'Model inputs'!B81</f>
        <v>10395</v>
      </c>
      <c r="AH69" s="10">
        <f>IF(IF(EXACT("Team","Team"),IF('Model inputs'!AH113="","",'Model inputs'!AH113),IF('Model inputs'!AH105="","",'Model inputs'!AH105))="",0,IF(EXACT("Team","Team"),IF('Model inputs'!AH113="","",'Model inputs'!AH113),IF('Model inputs'!AH105="","",'Model inputs'!AH105)))*'Model inputs'!B81</f>
        <v>10890</v>
      </c>
      <c r="AI69" s="10">
        <f>IF(IF(EXACT("Team","Team"),IF('Model inputs'!AI113="","",'Model inputs'!AI113),IF('Model inputs'!AI105="","",'Model inputs'!AI105))="",0,IF(EXACT("Team","Team"),IF('Model inputs'!AI113="","",'Model inputs'!AI113),IF('Model inputs'!AI105="","",'Model inputs'!AI105)))*'Model inputs'!B81</f>
        <v>11385</v>
      </c>
      <c r="AJ69" s="10">
        <f>IF(IF(EXACT("Team","Team"),IF('Model inputs'!AJ113="","",'Model inputs'!AJ113),IF('Model inputs'!AJ105="","",'Model inputs'!AJ105))="",0,IF(EXACT("Team","Team"),IF('Model inputs'!AJ113="","",'Model inputs'!AJ113),IF('Model inputs'!AJ105="","",'Model inputs'!AJ105)))*'Model inputs'!B81</f>
        <v>11880</v>
      </c>
    </row>
    <row r="70">
      <c r="A70" t="inlineStr" s="21">
        <is>
          <t xml:space="preserve">Revenue</t>
        </is>
      </c>
      <c r="X70" s="13">
        <f>SUM('Model inputs'!X71,'Model inputs'!X72)</f>
        <v>9900</v>
      </c>
    </row>
    <row r="71" outlineLevel="1">
      <c r="A71" t="inlineStr" s="22">
        <is>
          <t xml:space="preserve">Revenue &gt; Free</t>
        </is>
      </c>
      <c r="X71" s="10">
        <f>IF(IF(EXACT("Free","Team"),IF('Model inputs'!X138="","",'Model inputs'!X138),IF('Model inputs'!X168="","",'Model inputs'!X168))="",0,IF(EXACT("Free","Team"),IF('Model inputs'!X138="","",'Model inputs'!X138),IF('Model inputs'!X168="","",'Model inputs'!X168)))*'Model inputs'!C154</f>
        <v>0</v>
      </c>
    </row>
    <row r="72" outlineLevel="1">
      <c r="A72" t="inlineStr" s="22">
        <is>
          <t xml:space="preserve">Revenue &gt; Team</t>
        </is>
      </c>
      <c r="X72" s="10">
        <f>IF(IF(EXACT("Team","Team"),IF('Model inputs'!X138="","",'Model inputs'!X138),IF('Model inputs'!X168="","",'Model inputs'!X168))="",0,IF(EXACT("Team","Team"),IF('Model inputs'!X138="","",'Model inputs'!X138),IF('Model inputs'!X168="","",'Model inputs'!X168)))*'Model inputs'!C155</f>
        <v>9900</v>
      </c>
    </row>
    <row r="73">
      <c r="A73" t="inlineStr" s="21">
        <is>
          <t xml:space="preserve">Revenue</t>
        </is>
      </c>
      <c r="X73" s="13">
        <f>SUM('Model inputs'!X74,'Model inputs'!X75)</f>
        <v>1980</v>
      </c>
    </row>
    <row r="74" outlineLevel="1">
      <c r="A74" t="inlineStr" s="22">
        <is>
          <t xml:space="preserve">Revenue &gt; Free</t>
        </is>
      </c>
      <c r="X74" s="10">
        <f>IF(IF(EXACT("Free","Team"),IF('Model inputs'!X139="","",'Model inputs'!X139),IF('Model inputs'!X169="","",'Model inputs'!X169))="",0,IF(EXACT("Free","Team"),IF('Model inputs'!X139="","",'Model inputs'!X139),IF('Model inputs'!X169="","",'Model inputs'!X169)))*'Model inputs'!C157</f>
        <v>0</v>
      </c>
    </row>
    <row r="75" outlineLevel="1">
      <c r="A75" t="inlineStr" s="22">
        <is>
          <t xml:space="preserve">Revenue &gt; Team</t>
        </is>
      </c>
      <c r="X75" s="10">
        <f>IF(IF(EXACT("Team","Team"),IF('Model inputs'!X139="","",'Model inputs'!X139),IF('Model inputs'!X169="","",'Model inputs'!X169))="",0,IF(EXACT("Team","Team"),IF('Model inputs'!X139="","",'Model inputs'!X139),IF('Model inputs'!X169="","",'Model inputs'!X169)))*'Model inputs'!C158</f>
        <v>1980</v>
      </c>
    </row>
    <row r="76">
      <c r="A76" t="inlineStr" s="21">
        <is>
          <t xml:space="preserve">Revenue</t>
        </is>
      </c>
      <c r="X76" s="13">
        <f>SUM('Model inputs'!X77,'Model inputs'!X78)</f>
        <v>29700</v>
      </c>
    </row>
    <row r="77" outlineLevel="1">
      <c r="A77" t="inlineStr" s="22">
        <is>
          <t xml:space="preserve">Revenue &gt; Free</t>
        </is>
      </c>
      <c r="X77" s="10">
        <f>IF(IF(EXACT("Free","Team"),IF('Model inputs'!X140="","",'Model inputs'!X140),IF('Model inputs'!X170="","",'Model inputs'!X170))="",0,IF(EXACT("Free","Team"),IF('Model inputs'!X140="","",'Model inputs'!X140),IF('Model inputs'!X170="","",'Model inputs'!X170)))*'Model inputs'!C160</f>
        <v>0</v>
      </c>
    </row>
    <row r="78" outlineLevel="1">
      <c r="A78" t="inlineStr" s="22">
        <is>
          <t xml:space="preserve">Revenue &gt; Team</t>
        </is>
      </c>
      <c r="X78" s="10">
        <f>IF(IF(EXACT("Team","Team"),IF('Model inputs'!X140="","",'Model inputs'!X140),IF('Model inputs'!X170="","",'Model inputs'!X170))="",0,IF(EXACT("Team","Team"),IF('Model inputs'!X140="","",'Model inputs'!X140),IF('Model inputs'!X170="","",'Model inputs'!X170)))*'Model inputs'!C161</f>
        <v>29700</v>
      </c>
    </row>
    <row r="79">
      <c r="A79" t="inlineStr" s="21">
        <is>
          <t xml:space="preserve">Revenue per repo</t>
        </is>
      </c>
      <c r="B79" s="13">
        <f>'Model inputs'!B97+MAX('Model inputs'!B6-'Model inputs'!B93,0)*'Model inputs'!B100</f>
        <v>0</v>
      </c>
    </row>
    <row r="80" outlineLevel="1">
      <c r="A80" t="inlineStr" s="22">
        <is>
          <t xml:space="preserve">Revenue per repo &gt; Free</t>
        </is>
      </c>
      <c r="B80" s="10">
        <f>'Model inputs'!B98+MAX('Model inputs'!B7-'Model inputs'!B94,0)*'Model inputs'!B101</f>
        <v>0</v>
      </c>
    </row>
    <row r="81" outlineLevel="1">
      <c r="A81" t="inlineStr" s="22">
        <is>
          <t xml:space="preserve">Revenue per repo &gt; Team</t>
        </is>
      </c>
      <c r="B81" s="10">
        <f>'Model inputs'!B99+MAX('Model inputs'!B8-'Model inputs'!B95,0)*'Model inputs'!B102</f>
        <v>99</v>
      </c>
    </row>
    <row r="82">
      <c r="A82" t="inlineStr" s="21">
        <is>
          <t xml:space="preserve">Revenue per repo</t>
        </is>
      </c>
      <c r="C82" s="13">
        <f>'Model inputs'!B97+MAX('Model inputs'!B6-'Model inputs'!B93,0)*'Model inputs'!B100</f>
        <v>0</v>
      </c>
    </row>
    <row r="83" outlineLevel="1">
      <c r="A83" t="inlineStr" s="22">
        <is>
          <t xml:space="preserve">Revenue per repo &gt; Free</t>
        </is>
      </c>
      <c r="C83" s="10">
        <f>'Model inputs'!B98+MAX('Model inputs'!B7-'Model inputs'!B94,0)*'Model inputs'!B101</f>
        <v>0</v>
      </c>
    </row>
    <row r="84" outlineLevel="1">
      <c r="A84" t="inlineStr" s="22">
        <is>
          <t xml:space="preserve">Revenue per repo &gt; Team</t>
        </is>
      </c>
      <c r="C84" s="10">
        <f>'Model inputs'!B99+MAX('Model inputs'!B8-'Model inputs'!B95,0)*'Model inputs'!B102</f>
        <v>99</v>
      </c>
    </row>
    <row r="85">
      <c r="A85" t="inlineStr" s="21">
        <is>
          <t xml:space="preserve">Starting cash · Monthly forecast and cash</t>
        </is>
      </c>
      <c r="C85" s="10">
        <f>'Editable assumptions'!B11</f>
        <v>25000</v>
      </c>
    </row>
    <row r="86">
      <c r="A86" t="inlineStr" s="21">
        <is>
          <t xml:space="preserve">Unpaid founder months · Monthly forecast and cash</t>
        </is>
      </c>
      <c r="C86" s="9">
        <f>'Editable assumptions'!B10</f>
        <v>6</v>
      </c>
    </row>
    <row r="87">
      <c r="A87" t="inlineStr" s="21">
        <is>
          <t xml:space="preserve">Variable cost per repo</t>
        </is>
      </c>
      <c r="B87" s="13">
        <f>'Model inputs'!B6*'Model inputs'!B96</f>
        <v>0</v>
      </c>
    </row>
    <row r="88" outlineLevel="1">
      <c r="A88" t="inlineStr" s="22">
        <is>
          <t xml:space="preserve">Variable cost per repo &gt; Free</t>
        </is>
      </c>
      <c r="B88" s="10">
        <f>'Model inputs'!B7*'Unit economics by plan'!G5</f>
        <v>3</v>
      </c>
    </row>
    <row r="89" outlineLevel="1">
      <c r="A89" t="inlineStr" s="22">
        <is>
          <t xml:space="preserve">Variable cost per repo &gt; Team</t>
        </is>
      </c>
      <c r="B89" s="10">
        <f>'Model inputs'!B8*'Unit economics by plan'!G6</f>
        <v>18</v>
      </c>
    </row>
    <row r="90">
      <c r="A90" t="inlineStr" s="21">
        <is>
          <t xml:space="preserve">Variable cost per repo</t>
        </is>
      </c>
      <c r="C90" s="13">
        <f>'Model inputs'!B6*'Model inputs'!B96</f>
        <v>0</v>
      </c>
    </row>
    <row r="91" outlineLevel="1">
      <c r="A91" t="inlineStr" s="22">
        <is>
          <t xml:space="preserve">Variable cost per repo &gt; Free</t>
        </is>
      </c>
      <c r="C91" s="10">
        <f>'Model inputs'!B7*'Unit economics by plan'!G5</f>
        <v>3</v>
      </c>
    </row>
    <row r="92" outlineLevel="1">
      <c r="A92" t="inlineStr" s="22">
        <is>
          <t xml:space="preserve">Variable cost per repo &gt; Team</t>
        </is>
      </c>
      <c r="C92" s="10">
        <f>'Model inputs'!B8*'Unit economics by plan'!G6</f>
        <v>18</v>
      </c>
    </row>
    <row r="93">
      <c r="A93" t="inlineStr" s="21">
        <is>
          <t xml:space="preserve">Included investigations</t>
        </is>
      </c>
      <c r="B93" s="12">
        <v>0</v>
      </c>
    </row>
    <row r="94" outlineLevel="1">
      <c r="A94" t="inlineStr" s="22">
        <is>
          <t xml:space="preserve">Included investigations &gt; Free</t>
        </is>
      </c>
      <c r="B94" s="9">
        <f>'Unit economics by plan'!C5</f>
        <v>10</v>
      </c>
    </row>
    <row r="95" outlineLevel="1">
      <c r="A95" t="inlineStr" s="22">
        <is>
          <t xml:space="preserve">Included investigations &gt; Team</t>
        </is>
      </c>
      <c r="B95" s="9">
        <f>'Unit economics by plan'!C6</f>
        <v>100</v>
      </c>
    </row>
    <row r="96">
      <c r="A96" t="inlineStr" s="21">
        <is>
          <t xml:space="preserve">Investigation unit cost · Unit economics by plan</t>
        </is>
      </c>
      <c r="B96" s="8">
        <f>'Model inputs'!B51+'Model inputs'!B16</f>
        <v>0.3</v>
      </c>
    </row>
    <row r="97">
      <c r="A97" t="inlineStr" s="21">
        <is>
          <t xml:space="preserve">Monthly price per repo</t>
        </is>
      </c>
      <c r="B97" s="13">
        <v>0</v>
      </c>
    </row>
    <row r="98" outlineLevel="1">
      <c r="A98" t="inlineStr" s="22">
        <is>
          <t xml:space="preserve">Monthly price per repo &gt; Free</t>
        </is>
      </c>
      <c r="B98" s="10">
        <f>'Unit economics by plan'!B5</f>
        <v>0</v>
      </c>
    </row>
    <row r="99" outlineLevel="1">
      <c r="A99" t="inlineStr" s="22">
        <is>
          <t xml:space="preserve">Monthly price per repo &gt; Team</t>
        </is>
      </c>
      <c r="B99" s="10">
        <f>'Unit economics by plan'!B6</f>
        <v>99</v>
      </c>
    </row>
    <row r="100">
      <c r="A100" t="inlineStr" s="21">
        <is>
          <t xml:space="preserve">Overage price</t>
        </is>
      </c>
      <c r="B100" s="6">
        <v>0</v>
      </c>
    </row>
    <row r="101" outlineLevel="1">
      <c r="A101" t="inlineStr" s="22">
        <is>
          <t xml:space="preserve">Overage price &gt; Free</t>
        </is>
      </c>
      <c r="B101" s="8">
        <f>'Unit economics by plan'!E5</f>
        <v>0</v>
      </c>
    </row>
    <row r="102" outlineLevel="1">
      <c r="A102" t="inlineStr" s="22">
        <is>
          <t xml:space="preserve">Overage price &gt; Team</t>
        </is>
      </c>
      <c r="B102" s="8">
        <f>'Unit economics by plan'!E6</f>
        <v>1</v>
      </c>
    </row>
    <row r="103">
      <c r="A103" t="inlineStr" s="21">
        <is>
          <t xml:space="preserve">Operating profit · Monthly forecast and cash</t>
        </is>
      </c>
      <c r="D103" s="10">
        <v>0</v>
      </c>
      <c r="E103" s="10">
        <v>0</v>
      </c>
      <c r="F103" s="10">
        <v>0</v>
      </c>
      <c r="G103" s="10">
        <v>0</v>
      </c>
      <c r="H103" s="10">
        <v>0</v>
      </c>
      <c r="I103" s="10">
        <v>0</v>
      </c>
      <c r="J103" s="10">
        <v>0</v>
      </c>
      <c r="K103" s="10">
        <v>0</v>
      </c>
      <c r="L103" s="10">
        <v>0</v>
      </c>
      <c r="M103" s="10">
        <f>'Model inputs'!M47-'Model inputs'!M36</f>
        <v>-45</v>
      </c>
      <c r="N103" s="10">
        <f>'Model inputs'!N47-'Model inputs'!N36</f>
        <v>360</v>
      </c>
      <c r="O103" s="10">
        <f>'Model inputs'!O47-'Model inputs'!O36</f>
        <v>765</v>
      </c>
      <c r="P103" s="10">
        <f>'Model inputs'!P47-'Model inputs'!P36</f>
        <v>1170</v>
      </c>
      <c r="Q103" s="10">
        <f>'Model inputs'!Q47-'Model inputs'!Q36</f>
        <v>1575</v>
      </c>
      <c r="R103" s="10">
        <f>'Model inputs'!R47-'Model inputs'!R36</f>
        <v>1980</v>
      </c>
      <c r="S103" s="10">
        <f>'Model inputs'!S47-'Model inputs'!S36</f>
        <v>-5615</v>
      </c>
      <c r="T103" s="10">
        <f>'Model inputs'!T47-'Model inputs'!T36</f>
        <v>-5210</v>
      </c>
      <c r="U103" s="10">
        <f>'Model inputs'!U47-'Model inputs'!U36</f>
        <v>-4805</v>
      </c>
      <c r="V103" s="10">
        <f>'Model inputs'!V47-'Model inputs'!V36</f>
        <v>-4400</v>
      </c>
      <c r="W103" s="10">
        <f>'Model inputs'!W47-'Model inputs'!W36</f>
        <v>-3995</v>
      </c>
      <c r="X103" s="10">
        <f>'Model inputs'!X47-'Model inputs'!X36</f>
        <v>-3590</v>
      </c>
      <c r="Y103" s="10">
        <f>'Model inputs'!Y47-'Model inputs'!Y36</f>
        <v>-3185</v>
      </c>
      <c r="Z103" s="10">
        <f>'Model inputs'!Z47-'Model inputs'!Z36</f>
        <v>-2780</v>
      </c>
      <c r="AA103" s="10">
        <f>'Model inputs'!AA47-'Model inputs'!AA36</f>
        <v>-2375</v>
      </c>
      <c r="AB103" s="10">
        <f>'Model inputs'!AB47-'Model inputs'!AB36</f>
        <v>-1970</v>
      </c>
      <c r="AC103" s="10">
        <f>'Model inputs'!AC47-'Model inputs'!AC36</f>
        <v>-1565</v>
      </c>
      <c r="AD103" s="10">
        <f>'Model inputs'!AD47-'Model inputs'!AD36</f>
        <v>-1160</v>
      </c>
      <c r="AE103" s="10">
        <f>'Model inputs'!AE47-'Model inputs'!AE36</f>
        <v>-755</v>
      </c>
      <c r="AF103" s="10">
        <f>'Model inputs'!AF47-'Model inputs'!AF36</f>
        <v>-350</v>
      </c>
      <c r="AG103" s="10">
        <f>'Model inputs'!AG47-'Model inputs'!AG36</f>
        <v>55</v>
      </c>
      <c r="AH103" s="10">
        <f>'Model inputs'!AH47-'Model inputs'!AH36</f>
        <v>460</v>
      </c>
      <c r="AI103" s="10">
        <f>'Model inputs'!AI47-'Model inputs'!AI36</f>
        <v>865</v>
      </c>
      <c r="AJ103" s="10">
        <f>'Model inputs'!AJ47-'Model inputs'!AJ36</f>
        <v>1270</v>
      </c>
    </row>
    <row r="104">
      <c r="A104" t="inlineStr" s="21">
        <is>
          <t xml:space="preserve">Cost of revenue · Monthly forecast and cash</t>
        </is>
      </c>
      <c r="D104" s="10">
        <v>0</v>
      </c>
      <c r="E104" s="10">
        <v>0</v>
      </c>
      <c r="F104" s="10">
        <v>0</v>
      </c>
      <c r="G104" s="10">
        <v>0</v>
      </c>
      <c r="H104" s="10">
        <v>0</v>
      </c>
      <c r="I104" s="10">
        <v>0</v>
      </c>
      <c r="J104" s="10">
        <v>0</v>
      </c>
      <c r="K104" s="10">
        <v>0</v>
      </c>
      <c r="L104" s="10">
        <v>0</v>
      </c>
      <c r="M104" s="10">
        <f>'Model inputs'!M110+'Model inputs'!M106+'Model inputs'!M109</f>
        <v>540</v>
      </c>
      <c r="N104" s="10">
        <f>'Model inputs'!N110+'Model inputs'!N106+'Model inputs'!N109</f>
        <v>630</v>
      </c>
      <c r="O104" s="10">
        <f>'Model inputs'!O110+'Model inputs'!O106+'Model inputs'!O109</f>
        <v>720</v>
      </c>
      <c r="P104" s="10">
        <f>'Model inputs'!P110+'Model inputs'!P106+'Model inputs'!P109</f>
        <v>810</v>
      </c>
      <c r="Q104" s="10">
        <f>'Model inputs'!Q110+'Model inputs'!Q106+'Model inputs'!Q109</f>
        <v>900</v>
      </c>
      <c r="R104" s="10">
        <f>'Model inputs'!R110+'Model inputs'!R106+'Model inputs'!R109</f>
        <v>990</v>
      </c>
      <c r="S104" s="10">
        <f>'Model inputs'!S110+'Model inputs'!S106+'Model inputs'!S109</f>
        <v>1080</v>
      </c>
      <c r="T104" s="10">
        <f>'Model inputs'!T110+'Model inputs'!T106+'Model inputs'!T109</f>
        <v>1170</v>
      </c>
      <c r="U104" s="10">
        <f>'Model inputs'!U110+'Model inputs'!U106+'Model inputs'!U109</f>
        <v>1260</v>
      </c>
      <c r="V104" s="10">
        <f>'Model inputs'!V110+'Model inputs'!V106+'Model inputs'!V109</f>
        <v>1350</v>
      </c>
      <c r="W104" s="10">
        <f>'Model inputs'!W110+'Model inputs'!W106+'Model inputs'!W109</f>
        <v>1440</v>
      </c>
      <c r="X104" s="10">
        <f>'Model inputs'!X110+'Model inputs'!X106+'Model inputs'!X109</f>
        <v>1530</v>
      </c>
      <c r="Y104" s="10">
        <f>'Model inputs'!Y110+'Model inputs'!Y106+'Model inputs'!Y109</f>
        <v>1620</v>
      </c>
      <c r="Z104" s="10">
        <f>'Model inputs'!Z110+'Model inputs'!Z106+'Model inputs'!Z109</f>
        <v>1710</v>
      </c>
      <c r="AA104" s="10">
        <f>'Model inputs'!AA110+'Model inputs'!AA106+'Model inputs'!AA109</f>
        <v>1800</v>
      </c>
      <c r="AB104" s="10">
        <f>'Model inputs'!AB110+'Model inputs'!AB106+'Model inputs'!AB109</f>
        <v>1890</v>
      </c>
      <c r="AC104" s="10">
        <f>'Model inputs'!AC110+'Model inputs'!AC106+'Model inputs'!AC109</f>
        <v>1980</v>
      </c>
      <c r="AD104" s="10">
        <f>'Model inputs'!AD110+'Model inputs'!AD106+'Model inputs'!AD109</f>
        <v>2070</v>
      </c>
      <c r="AE104" s="10">
        <f>'Model inputs'!AE110+'Model inputs'!AE106+'Model inputs'!AE109</f>
        <v>2160</v>
      </c>
      <c r="AF104" s="10">
        <f>'Model inputs'!AF110+'Model inputs'!AF106+'Model inputs'!AF109</f>
        <v>2250</v>
      </c>
      <c r="AG104" s="10">
        <f>'Model inputs'!AG110+'Model inputs'!AG106+'Model inputs'!AG109</f>
        <v>2340</v>
      </c>
      <c r="AH104" s="10">
        <f>'Model inputs'!AH110+'Model inputs'!AH106+'Model inputs'!AH109</f>
        <v>2430</v>
      </c>
      <c r="AI104" s="10">
        <f>'Model inputs'!AI110+'Model inputs'!AI106+'Model inputs'!AI109</f>
        <v>2520</v>
      </c>
      <c r="AJ104" s="10">
        <f>'Model inputs'!AJ110+'Model inputs'!AJ106+'Model inputs'!AJ109</f>
        <v>2610</v>
      </c>
    </row>
    <row r="105">
      <c r="A105" t="inlineStr" s="21">
        <is>
          <t xml:space="preserve">Active free repos · Monthly forecast and cash</t>
        </is>
      </c>
      <c r="D105" s="9">
        <v>0</v>
      </c>
      <c r="E105" s="9">
        <v>0</v>
      </c>
      <c r="F105" s="9">
        <v>0</v>
      </c>
      <c r="G105" s="9">
        <v>0</v>
      </c>
      <c r="H105" s="9">
        <v>0</v>
      </c>
      <c r="I105" s="9">
        <v>0</v>
      </c>
      <c r="J105" s="9">
        <v>0</v>
      </c>
      <c r="K105" s="9">
        <v>0</v>
      </c>
      <c r="L105" s="9">
        <v>0</v>
      </c>
      <c r="M105" s="9">
        <f>IF('Model inputs'!C44="","",'Model inputs'!C44)</f>
        <v>50</v>
      </c>
      <c r="N105" s="9">
        <f>IF('Model inputs'!C44="","",'Model inputs'!C44)</f>
        <v>50</v>
      </c>
      <c r="O105" s="9">
        <f>IF('Model inputs'!C44="","",'Model inputs'!C44)</f>
        <v>50</v>
      </c>
      <c r="P105" s="9">
        <f>IF('Model inputs'!C44="","",'Model inputs'!C44)</f>
        <v>50</v>
      </c>
      <c r="Q105" s="9">
        <f>IF('Model inputs'!C44="","",'Model inputs'!C44)</f>
        <v>50</v>
      </c>
      <c r="R105" s="9">
        <f>IF('Model inputs'!C44="","",'Model inputs'!C44)</f>
        <v>50</v>
      </c>
      <c r="S105" s="9">
        <f>IF('Model inputs'!C44="","",'Model inputs'!C44)</f>
        <v>50</v>
      </c>
      <c r="T105" s="9">
        <f>IF('Model inputs'!C44="","",'Model inputs'!C44)</f>
        <v>50</v>
      </c>
      <c r="U105" s="9">
        <f>IF('Model inputs'!C44="","",'Model inputs'!C44)</f>
        <v>50</v>
      </c>
      <c r="V105" s="9">
        <f>IF('Model inputs'!C44="","",'Model inputs'!C44)</f>
        <v>50</v>
      </c>
      <c r="W105" s="9">
        <f>IF('Model inputs'!C44="","",'Model inputs'!C44)</f>
        <v>50</v>
      </c>
      <c r="X105" s="9">
        <f>IF('Model inputs'!C44="","",'Model inputs'!C44)</f>
        <v>50</v>
      </c>
      <c r="Y105" s="9">
        <f>IF('Model inputs'!C44="","",'Model inputs'!C44)</f>
        <v>50</v>
      </c>
      <c r="Z105" s="9">
        <f>IF('Model inputs'!C44="","",'Model inputs'!C44)</f>
        <v>50</v>
      </c>
      <c r="AA105" s="9">
        <f>IF('Model inputs'!C44="","",'Model inputs'!C44)</f>
        <v>50</v>
      </c>
      <c r="AB105" s="9">
        <f>IF('Model inputs'!C44="","",'Model inputs'!C44)</f>
        <v>50</v>
      </c>
      <c r="AC105" s="9">
        <f>IF('Model inputs'!C44="","",'Model inputs'!C44)</f>
        <v>50</v>
      </c>
      <c r="AD105" s="9">
        <f>IF('Model inputs'!C44="","",'Model inputs'!C44)</f>
        <v>50</v>
      </c>
      <c r="AE105" s="9">
        <f>IF('Model inputs'!C44="","",'Model inputs'!C44)</f>
        <v>50</v>
      </c>
      <c r="AF105" s="9">
        <f>IF('Model inputs'!C44="","",'Model inputs'!C44)</f>
        <v>50</v>
      </c>
      <c r="AG105" s="9">
        <f>IF('Model inputs'!C44="","",'Model inputs'!C44)</f>
        <v>50</v>
      </c>
      <c r="AH105" s="9">
        <f>IF('Model inputs'!C44="","",'Model inputs'!C44)</f>
        <v>50</v>
      </c>
      <c r="AI105" s="9">
        <f>IF('Model inputs'!C44="","",'Model inputs'!C44)</f>
        <v>50</v>
      </c>
      <c r="AJ105" s="9">
        <f>IF('Model inputs'!C44="","",'Model inputs'!C44)</f>
        <v>50</v>
      </c>
    </row>
    <row r="106">
      <c r="A106" t="inlineStr" s="21">
        <is>
          <t xml:space="preserve">Compute spend</t>
        </is>
      </c>
      <c r="L106" s="13">
        <f>SUM('Model inputs'!L107,'Model inputs'!L108)</f>
        <v>0</v>
      </c>
      <c r="M106" s="13">
        <f>SUM('Model inputs'!M107,'Model inputs'!M108)</f>
        <v>40</v>
      </c>
      <c r="N106" s="13">
        <f>SUM('Model inputs'!N107,'Model inputs'!N108)</f>
        <v>55</v>
      </c>
      <c r="O106" s="13">
        <f>SUM('Model inputs'!O107,'Model inputs'!O108)</f>
        <v>70</v>
      </c>
      <c r="P106" s="13">
        <f>SUM('Model inputs'!P107,'Model inputs'!P108)</f>
        <v>85</v>
      </c>
      <c r="Q106" s="13">
        <f>SUM('Model inputs'!Q107,'Model inputs'!Q108)</f>
        <v>100</v>
      </c>
      <c r="R106" s="13">
        <f>SUM('Model inputs'!R107,'Model inputs'!R108)</f>
        <v>115</v>
      </c>
      <c r="S106" s="13">
        <f>SUM('Model inputs'!S107,'Model inputs'!S108)</f>
        <v>130</v>
      </c>
      <c r="T106" s="13">
        <f>SUM('Model inputs'!T107,'Model inputs'!T108)</f>
        <v>145</v>
      </c>
      <c r="U106" s="13">
        <f>SUM('Model inputs'!U107,'Model inputs'!U108)</f>
        <v>160</v>
      </c>
      <c r="V106" s="13">
        <f>SUM('Model inputs'!V107,'Model inputs'!V108)</f>
        <v>175</v>
      </c>
      <c r="W106" s="13">
        <f>SUM('Model inputs'!W107,'Model inputs'!W108)</f>
        <v>190</v>
      </c>
      <c r="X106" s="13">
        <f>SUM('Model inputs'!X107,'Model inputs'!X108)</f>
        <v>205</v>
      </c>
      <c r="Y106" s="13">
        <f>SUM('Model inputs'!Y107,'Model inputs'!Y108)</f>
        <v>220</v>
      </c>
      <c r="Z106" s="13">
        <f>SUM('Model inputs'!Z107,'Model inputs'!Z108)</f>
        <v>235</v>
      </c>
      <c r="AA106" s="13">
        <f>SUM('Model inputs'!AA107,'Model inputs'!AA108)</f>
        <v>250</v>
      </c>
      <c r="AB106" s="13">
        <f>SUM('Model inputs'!AB107,'Model inputs'!AB108)</f>
        <v>265</v>
      </c>
      <c r="AC106" s="13">
        <f>SUM('Model inputs'!AC107,'Model inputs'!AC108)</f>
        <v>280</v>
      </c>
      <c r="AD106" s="13">
        <f>SUM('Model inputs'!AD107,'Model inputs'!AD108)</f>
        <v>295</v>
      </c>
      <c r="AE106" s="13">
        <f>SUM('Model inputs'!AE107,'Model inputs'!AE108)</f>
        <v>310</v>
      </c>
      <c r="AF106" s="13">
        <f>SUM('Model inputs'!AF107,'Model inputs'!AF108)</f>
        <v>325</v>
      </c>
      <c r="AG106" s="13">
        <f>SUM('Model inputs'!AG107,'Model inputs'!AG108)</f>
        <v>340</v>
      </c>
      <c r="AH106" s="13">
        <f>SUM('Model inputs'!AH107,'Model inputs'!AH108)</f>
        <v>355</v>
      </c>
      <c r="AI106" s="13">
        <f>SUM('Model inputs'!AI107,'Model inputs'!AI108)</f>
        <v>370</v>
      </c>
      <c r="AJ106" s="13">
        <f>SUM('Model inputs'!AJ107,'Model inputs'!AJ108)</f>
        <v>385</v>
      </c>
    </row>
    <row r="107" outlineLevel="1">
      <c r="A107" t="inlineStr" s="22">
        <is>
          <t xml:space="preserve">Compute spend &gt; Free</t>
        </is>
      </c>
      <c r="L107" s="10">
        <f>'Monthly forecast and cash'!B19</f>
        <v>0</v>
      </c>
      <c r="M107" s="10">
        <f>'Model inputs'!M115*'Model inputs'!B16</f>
        <v>25</v>
      </c>
      <c r="N107" s="10">
        <f>'Model inputs'!N115*'Model inputs'!B16</f>
        <v>25</v>
      </c>
      <c r="O107" s="10">
        <f>'Model inputs'!O115*'Model inputs'!B16</f>
        <v>25</v>
      </c>
      <c r="P107" s="10">
        <f>'Model inputs'!P115*'Model inputs'!B16</f>
        <v>25</v>
      </c>
      <c r="Q107" s="10">
        <f>'Model inputs'!Q115*'Model inputs'!B16</f>
        <v>25</v>
      </c>
      <c r="R107" s="10">
        <f>'Model inputs'!R115*'Model inputs'!B16</f>
        <v>25</v>
      </c>
      <c r="S107" s="10">
        <f>'Model inputs'!S115*'Model inputs'!B16</f>
        <v>25</v>
      </c>
      <c r="T107" s="10">
        <f>'Model inputs'!T115*'Model inputs'!B16</f>
        <v>25</v>
      </c>
      <c r="U107" s="10">
        <f>'Model inputs'!U115*'Model inputs'!B16</f>
        <v>25</v>
      </c>
      <c r="V107" s="10">
        <f>'Model inputs'!V115*'Model inputs'!B16</f>
        <v>25</v>
      </c>
      <c r="W107" s="10">
        <f>'Model inputs'!W115*'Model inputs'!B16</f>
        <v>25</v>
      </c>
      <c r="X107" s="10">
        <f>'Model inputs'!X115*'Model inputs'!B16</f>
        <v>25</v>
      </c>
      <c r="Y107" s="10">
        <f>'Model inputs'!Y115*'Model inputs'!B16</f>
        <v>25</v>
      </c>
      <c r="Z107" s="10">
        <f>'Model inputs'!Z115*'Model inputs'!B16</f>
        <v>25</v>
      </c>
      <c r="AA107" s="10">
        <f>'Model inputs'!AA115*'Model inputs'!B16</f>
        <v>25</v>
      </c>
      <c r="AB107" s="10">
        <f>'Model inputs'!AB115*'Model inputs'!B16</f>
        <v>25</v>
      </c>
      <c r="AC107" s="10">
        <f>'Model inputs'!AC115*'Model inputs'!B16</f>
        <v>25</v>
      </c>
      <c r="AD107" s="10">
        <f>'Model inputs'!AD115*'Model inputs'!B16</f>
        <v>25</v>
      </c>
      <c r="AE107" s="10">
        <f>'Model inputs'!AE115*'Model inputs'!B16</f>
        <v>25</v>
      </c>
      <c r="AF107" s="10">
        <f>'Model inputs'!AF115*'Model inputs'!B16</f>
        <v>25</v>
      </c>
      <c r="AG107" s="10">
        <f>'Model inputs'!AG115*'Model inputs'!B16</f>
        <v>25</v>
      </c>
      <c r="AH107" s="10">
        <f>'Model inputs'!AH115*'Model inputs'!B16</f>
        <v>25</v>
      </c>
      <c r="AI107" s="10">
        <f>'Model inputs'!AI115*'Model inputs'!B16</f>
        <v>25</v>
      </c>
      <c r="AJ107" s="10">
        <f>'Model inputs'!AJ115*'Model inputs'!B16</f>
        <v>25</v>
      </c>
    </row>
    <row r="108" outlineLevel="1">
      <c r="A108" t="inlineStr" s="22">
        <is>
          <t xml:space="preserve">Compute spend &gt; Team</t>
        </is>
      </c>
      <c r="L108" s="10">
        <f>'Monthly forecast and cash'!B20</f>
        <v>0</v>
      </c>
      <c r="M108" s="10">
        <f>'Model inputs'!M116*'Model inputs'!B16</f>
        <v>15</v>
      </c>
      <c r="N108" s="10">
        <f>'Model inputs'!N116*'Model inputs'!B16</f>
        <v>30</v>
      </c>
      <c r="O108" s="10">
        <f>'Model inputs'!O116*'Model inputs'!B16</f>
        <v>45</v>
      </c>
      <c r="P108" s="10">
        <f>'Model inputs'!P116*'Model inputs'!B16</f>
        <v>60</v>
      </c>
      <c r="Q108" s="10">
        <f>'Model inputs'!Q116*'Model inputs'!B16</f>
        <v>75</v>
      </c>
      <c r="R108" s="10">
        <f>'Model inputs'!R116*'Model inputs'!B16</f>
        <v>90</v>
      </c>
      <c r="S108" s="10">
        <f>'Model inputs'!S116*'Model inputs'!B16</f>
        <v>105</v>
      </c>
      <c r="T108" s="10">
        <f>'Model inputs'!T116*'Model inputs'!B16</f>
        <v>120</v>
      </c>
      <c r="U108" s="10">
        <f>'Model inputs'!U116*'Model inputs'!B16</f>
        <v>135</v>
      </c>
      <c r="V108" s="10">
        <f>'Model inputs'!V116*'Model inputs'!B16</f>
        <v>150</v>
      </c>
      <c r="W108" s="10">
        <f>'Model inputs'!W116*'Model inputs'!B16</f>
        <v>165</v>
      </c>
      <c r="X108" s="10">
        <f>'Model inputs'!X116*'Model inputs'!B16</f>
        <v>180</v>
      </c>
      <c r="Y108" s="10">
        <f>'Model inputs'!Y116*'Model inputs'!B16</f>
        <v>195</v>
      </c>
      <c r="Z108" s="10">
        <f>'Model inputs'!Z116*'Model inputs'!B16</f>
        <v>210</v>
      </c>
      <c r="AA108" s="10">
        <f>'Model inputs'!AA116*'Model inputs'!B16</f>
        <v>225</v>
      </c>
      <c r="AB108" s="10">
        <f>'Model inputs'!AB116*'Model inputs'!B16</f>
        <v>240</v>
      </c>
      <c r="AC108" s="10">
        <f>'Model inputs'!AC116*'Model inputs'!B16</f>
        <v>255</v>
      </c>
      <c r="AD108" s="10">
        <f>'Model inputs'!AD116*'Model inputs'!B16</f>
        <v>270</v>
      </c>
      <c r="AE108" s="10">
        <f>'Model inputs'!AE116*'Model inputs'!B16</f>
        <v>285</v>
      </c>
      <c r="AF108" s="10">
        <f>'Model inputs'!AF116*'Model inputs'!B16</f>
        <v>300</v>
      </c>
      <c r="AG108" s="10">
        <f>'Model inputs'!AG116*'Model inputs'!B16</f>
        <v>315</v>
      </c>
      <c r="AH108" s="10">
        <f>'Model inputs'!AH116*'Model inputs'!B16</f>
        <v>330</v>
      </c>
      <c r="AI108" s="10">
        <f>'Model inputs'!AI116*'Model inputs'!B16</f>
        <v>345</v>
      </c>
      <c r="AJ108" s="10">
        <f>'Model inputs'!AJ116*'Model inputs'!B16</f>
        <v>360</v>
      </c>
    </row>
    <row r="109">
      <c r="A109" t="inlineStr" s="21">
        <is>
          <t xml:space="preserve">Hosting expense · Monthly forecast and cash</t>
        </is>
      </c>
      <c r="D109" s="10">
        <v>0</v>
      </c>
      <c r="E109" s="10">
        <v>0</v>
      </c>
      <c r="F109" s="10">
        <v>0</v>
      </c>
      <c r="G109" s="10">
        <v>0</v>
      </c>
      <c r="H109" s="10">
        <v>0</v>
      </c>
      <c r="I109" s="10">
        <v>0</v>
      </c>
      <c r="J109" s="10">
        <v>0</v>
      </c>
      <c r="K109" s="10">
        <v>0</v>
      </c>
      <c r="L109" s="10">
        <v>0</v>
      </c>
      <c r="M109" s="10">
        <f>IF('Model inputs'!C26="","",'Model inputs'!C26)</f>
        <v>300</v>
      </c>
      <c r="N109" s="10">
        <f>IF('Model inputs'!C26="","",'Model inputs'!C26)</f>
        <v>300</v>
      </c>
      <c r="O109" s="10">
        <f>IF('Model inputs'!C26="","",'Model inputs'!C26)</f>
        <v>300</v>
      </c>
      <c r="P109" s="10">
        <f>IF('Model inputs'!C26="","",'Model inputs'!C26)</f>
        <v>300</v>
      </c>
      <c r="Q109" s="10">
        <f>IF('Model inputs'!C26="","",'Model inputs'!C26)</f>
        <v>300</v>
      </c>
      <c r="R109" s="10">
        <f>IF('Model inputs'!C26="","",'Model inputs'!C26)</f>
        <v>300</v>
      </c>
      <c r="S109" s="10">
        <f>IF('Model inputs'!C26="","",'Model inputs'!C26)</f>
        <v>300</v>
      </c>
      <c r="T109" s="10">
        <f>IF('Model inputs'!C26="","",'Model inputs'!C26)</f>
        <v>300</v>
      </c>
      <c r="U109" s="10">
        <f>IF('Model inputs'!C26="","",'Model inputs'!C26)</f>
        <v>300</v>
      </c>
      <c r="V109" s="10">
        <f>IF('Model inputs'!C26="","",'Model inputs'!C26)</f>
        <v>300</v>
      </c>
      <c r="W109" s="10">
        <f>IF('Model inputs'!C26="","",'Model inputs'!C26)</f>
        <v>300</v>
      </c>
      <c r="X109" s="10">
        <f>IF('Model inputs'!C26="","",'Model inputs'!C26)</f>
        <v>300</v>
      </c>
      <c r="Y109" s="10">
        <f>IF('Model inputs'!C26="","",'Model inputs'!C26)</f>
        <v>300</v>
      </c>
      <c r="Z109" s="10">
        <f>IF('Model inputs'!C26="","",'Model inputs'!C26)</f>
        <v>300</v>
      </c>
      <c r="AA109" s="10">
        <f>IF('Model inputs'!C26="","",'Model inputs'!C26)</f>
        <v>300</v>
      </c>
      <c r="AB109" s="10">
        <f>IF('Model inputs'!C26="","",'Model inputs'!C26)</f>
        <v>300</v>
      </c>
      <c r="AC109" s="10">
        <f>IF('Model inputs'!C26="","",'Model inputs'!C26)</f>
        <v>300</v>
      </c>
      <c r="AD109" s="10">
        <f>IF('Model inputs'!C26="","",'Model inputs'!C26)</f>
        <v>300</v>
      </c>
      <c r="AE109" s="10">
        <f>IF('Model inputs'!C26="","",'Model inputs'!C26)</f>
        <v>300</v>
      </c>
      <c r="AF109" s="10">
        <f>IF('Model inputs'!C26="","",'Model inputs'!C26)</f>
        <v>300</v>
      </c>
      <c r="AG109" s="10">
        <f>IF('Model inputs'!C26="","",'Model inputs'!C26)</f>
        <v>300</v>
      </c>
      <c r="AH109" s="10">
        <f>IF('Model inputs'!C26="","",'Model inputs'!C26)</f>
        <v>300</v>
      </c>
      <c r="AI109" s="10">
        <f>IF('Model inputs'!C26="","",'Model inputs'!C26)</f>
        <v>300</v>
      </c>
      <c r="AJ109" s="10">
        <f>IF('Model inputs'!C26="","",'Model inputs'!C26)</f>
        <v>300</v>
      </c>
    </row>
    <row r="110">
      <c r="A110" t="inlineStr" s="21">
        <is>
          <t xml:space="preserve">Model spend</t>
        </is>
      </c>
      <c r="L110" s="13">
        <f>SUM('Model inputs'!L111,'Model inputs'!L112)</f>
        <v>0</v>
      </c>
      <c r="M110" s="13">
        <f>SUM('Model inputs'!M111,'Model inputs'!M112)</f>
        <v>200</v>
      </c>
      <c r="N110" s="13">
        <f>SUM('Model inputs'!N111,'Model inputs'!N112)</f>
        <v>275</v>
      </c>
      <c r="O110" s="13">
        <f>SUM('Model inputs'!O111,'Model inputs'!O112)</f>
        <v>350</v>
      </c>
      <c r="P110" s="13">
        <f>SUM('Model inputs'!P111,'Model inputs'!P112)</f>
        <v>425</v>
      </c>
      <c r="Q110" s="13">
        <f>SUM('Model inputs'!Q111,'Model inputs'!Q112)</f>
        <v>500</v>
      </c>
      <c r="R110" s="13">
        <f>SUM('Model inputs'!R111,'Model inputs'!R112)</f>
        <v>575</v>
      </c>
      <c r="S110" s="13">
        <f>SUM('Model inputs'!S111,'Model inputs'!S112)</f>
        <v>650</v>
      </c>
      <c r="T110" s="13">
        <f>SUM('Model inputs'!T111,'Model inputs'!T112)</f>
        <v>725</v>
      </c>
      <c r="U110" s="13">
        <f>SUM('Model inputs'!U111,'Model inputs'!U112)</f>
        <v>800</v>
      </c>
      <c r="V110" s="13">
        <f>SUM('Model inputs'!V111,'Model inputs'!V112)</f>
        <v>875</v>
      </c>
      <c r="W110" s="13">
        <f>SUM('Model inputs'!W111,'Model inputs'!W112)</f>
        <v>950</v>
      </c>
      <c r="X110" s="13">
        <f>SUM('Model inputs'!X111,'Model inputs'!X112)</f>
        <v>1025</v>
      </c>
      <c r="Y110" s="13">
        <f>SUM('Model inputs'!Y111,'Model inputs'!Y112)</f>
        <v>1100</v>
      </c>
      <c r="Z110" s="13">
        <f>SUM('Model inputs'!Z111,'Model inputs'!Z112)</f>
        <v>1175</v>
      </c>
      <c r="AA110" s="13">
        <f>SUM('Model inputs'!AA111,'Model inputs'!AA112)</f>
        <v>1250</v>
      </c>
      <c r="AB110" s="13">
        <f>SUM('Model inputs'!AB111,'Model inputs'!AB112)</f>
        <v>1325</v>
      </c>
      <c r="AC110" s="13">
        <f>SUM('Model inputs'!AC111,'Model inputs'!AC112)</f>
        <v>1400</v>
      </c>
      <c r="AD110" s="13">
        <f>SUM('Model inputs'!AD111,'Model inputs'!AD112)</f>
        <v>1475</v>
      </c>
      <c r="AE110" s="13">
        <f>SUM('Model inputs'!AE111,'Model inputs'!AE112)</f>
        <v>1550</v>
      </c>
      <c r="AF110" s="13">
        <f>SUM('Model inputs'!AF111,'Model inputs'!AF112)</f>
        <v>1625</v>
      </c>
      <c r="AG110" s="13">
        <f>SUM('Model inputs'!AG111,'Model inputs'!AG112)</f>
        <v>1700</v>
      </c>
      <c r="AH110" s="13">
        <f>SUM('Model inputs'!AH111,'Model inputs'!AH112)</f>
        <v>1775</v>
      </c>
      <c r="AI110" s="13">
        <f>SUM('Model inputs'!AI111,'Model inputs'!AI112)</f>
        <v>1850</v>
      </c>
      <c r="AJ110" s="13">
        <f>SUM('Model inputs'!AJ111,'Model inputs'!AJ112)</f>
        <v>1925</v>
      </c>
    </row>
    <row r="111" outlineLevel="1">
      <c r="A111" t="inlineStr" s="22">
        <is>
          <t xml:space="preserve">Model spend &gt; Free</t>
        </is>
      </c>
      <c r="L111" s="10">
        <f>'Monthly forecast and cash'!B16</f>
        <v>0</v>
      </c>
      <c r="M111" s="10">
        <f>'Model inputs'!M115*'Model inputs'!B51</f>
        <v>125</v>
      </c>
      <c r="N111" s="10">
        <f>'Model inputs'!N115*'Model inputs'!B51</f>
        <v>125</v>
      </c>
      <c r="O111" s="10">
        <f>'Model inputs'!O115*'Model inputs'!B51</f>
        <v>125</v>
      </c>
      <c r="P111" s="10">
        <f>'Model inputs'!P115*'Model inputs'!B51</f>
        <v>125</v>
      </c>
      <c r="Q111" s="10">
        <f>'Model inputs'!Q115*'Model inputs'!B51</f>
        <v>125</v>
      </c>
      <c r="R111" s="10">
        <f>'Model inputs'!R115*'Model inputs'!B51</f>
        <v>125</v>
      </c>
      <c r="S111" s="10">
        <f>'Model inputs'!S115*'Model inputs'!B51</f>
        <v>125</v>
      </c>
      <c r="T111" s="10">
        <f>'Model inputs'!T115*'Model inputs'!B51</f>
        <v>125</v>
      </c>
      <c r="U111" s="10">
        <f>'Model inputs'!U115*'Model inputs'!B51</f>
        <v>125</v>
      </c>
      <c r="V111" s="10">
        <f>'Model inputs'!V115*'Model inputs'!B51</f>
        <v>125</v>
      </c>
      <c r="W111" s="10">
        <f>'Model inputs'!W115*'Model inputs'!B51</f>
        <v>125</v>
      </c>
      <c r="X111" s="10">
        <f>'Model inputs'!X115*'Model inputs'!B51</f>
        <v>125</v>
      </c>
      <c r="Y111" s="10">
        <f>'Model inputs'!Y115*'Model inputs'!B51</f>
        <v>125</v>
      </c>
      <c r="Z111" s="10">
        <f>'Model inputs'!Z115*'Model inputs'!B51</f>
        <v>125</v>
      </c>
      <c r="AA111" s="10">
        <f>'Model inputs'!AA115*'Model inputs'!B51</f>
        <v>125</v>
      </c>
      <c r="AB111" s="10">
        <f>'Model inputs'!AB115*'Model inputs'!B51</f>
        <v>125</v>
      </c>
      <c r="AC111" s="10">
        <f>'Model inputs'!AC115*'Model inputs'!B51</f>
        <v>125</v>
      </c>
      <c r="AD111" s="10">
        <f>'Model inputs'!AD115*'Model inputs'!B51</f>
        <v>125</v>
      </c>
      <c r="AE111" s="10">
        <f>'Model inputs'!AE115*'Model inputs'!B51</f>
        <v>125</v>
      </c>
      <c r="AF111" s="10">
        <f>'Model inputs'!AF115*'Model inputs'!B51</f>
        <v>125</v>
      </c>
      <c r="AG111" s="10">
        <f>'Model inputs'!AG115*'Model inputs'!B51</f>
        <v>125</v>
      </c>
      <c r="AH111" s="10">
        <f>'Model inputs'!AH115*'Model inputs'!B51</f>
        <v>125</v>
      </c>
      <c r="AI111" s="10">
        <f>'Model inputs'!AI115*'Model inputs'!B51</f>
        <v>125</v>
      </c>
      <c r="AJ111" s="10">
        <f>'Model inputs'!AJ115*'Model inputs'!B51</f>
        <v>125</v>
      </c>
    </row>
    <row r="112" outlineLevel="1">
      <c r="A112" t="inlineStr" s="22">
        <is>
          <t xml:space="preserve">Model spend &gt; Team</t>
        </is>
      </c>
      <c r="L112" s="10">
        <f>'Monthly forecast and cash'!B17</f>
        <v>0</v>
      </c>
      <c r="M112" s="10">
        <f>'Model inputs'!M116*'Model inputs'!B51</f>
        <v>75</v>
      </c>
      <c r="N112" s="10">
        <f>'Model inputs'!N116*'Model inputs'!B51</f>
        <v>150</v>
      </c>
      <c r="O112" s="10">
        <f>'Model inputs'!O116*'Model inputs'!B51</f>
        <v>225</v>
      </c>
      <c r="P112" s="10">
        <f>'Model inputs'!P116*'Model inputs'!B51</f>
        <v>300</v>
      </c>
      <c r="Q112" s="10">
        <f>'Model inputs'!Q116*'Model inputs'!B51</f>
        <v>375</v>
      </c>
      <c r="R112" s="10">
        <f>'Model inputs'!R116*'Model inputs'!B51</f>
        <v>450</v>
      </c>
      <c r="S112" s="10">
        <f>'Model inputs'!S116*'Model inputs'!B51</f>
        <v>525</v>
      </c>
      <c r="T112" s="10">
        <f>'Model inputs'!T116*'Model inputs'!B51</f>
        <v>600</v>
      </c>
      <c r="U112" s="10">
        <f>'Model inputs'!U116*'Model inputs'!B51</f>
        <v>675</v>
      </c>
      <c r="V112" s="10">
        <f>'Model inputs'!V116*'Model inputs'!B51</f>
        <v>750</v>
      </c>
      <c r="W112" s="10">
        <f>'Model inputs'!W116*'Model inputs'!B51</f>
        <v>825</v>
      </c>
      <c r="X112" s="10">
        <f>'Model inputs'!X116*'Model inputs'!B51</f>
        <v>900</v>
      </c>
      <c r="Y112" s="10">
        <f>'Model inputs'!Y116*'Model inputs'!B51</f>
        <v>975</v>
      </c>
      <c r="Z112" s="10">
        <f>'Model inputs'!Z116*'Model inputs'!B51</f>
        <v>1050</v>
      </c>
      <c r="AA112" s="10">
        <f>'Model inputs'!AA116*'Model inputs'!B51</f>
        <v>1125</v>
      </c>
      <c r="AB112" s="10">
        <f>'Model inputs'!AB116*'Model inputs'!B51</f>
        <v>1200</v>
      </c>
      <c r="AC112" s="10">
        <f>'Model inputs'!AC116*'Model inputs'!B51</f>
        <v>1275</v>
      </c>
      <c r="AD112" s="10">
        <f>'Model inputs'!AD116*'Model inputs'!B51</f>
        <v>1350</v>
      </c>
      <c r="AE112" s="10">
        <f>'Model inputs'!AE116*'Model inputs'!B51</f>
        <v>1425</v>
      </c>
      <c r="AF112" s="10">
        <f>'Model inputs'!AF116*'Model inputs'!B51</f>
        <v>1500</v>
      </c>
      <c r="AG112" s="10">
        <f>'Model inputs'!AG116*'Model inputs'!B51</f>
        <v>1575</v>
      </c>
      <c r="AH112" s="10">
        <f>'Model inputs'!AH116*'Model inputs'!B51</f>
        <v>1650</v>
      </c>
      <c r="AI112" s="10">
        <f>'Model inputs'!AI116*'Model inputs'!B51</f>
        <v>1725</v>
      </c>
      <c r="AJ112" s="10">
        <f>'Model inputs'!AJ116*'Model inputs'!B51</f>
        <v>1800</v>
      </c>
    </row>
    <row r="113">
      <c r="A113" t="inlineStr" s="21">
        <is>
          <t xml:space="preserve">Paying teams · Monthly forecast and cash</t>
        </is>
      </c>
      <c r="D113" s="16">
        <v>0</v>
      </c>
      <c r="E113" s="16">
        <v>0</v>
      </c>
      <c r="F113" s="16">
        <v>0</v>
      </c>
      <c r="G113" s="16">
        <v>0</v>
      </c>
      <c r="H113" s="16">
        <v>0</v>
      </c>
      <c r="I113" s="16">
        <v>0</v>
      </c>
      <c r="J113" s="16">
        <v>0</v>
      </c>
      <c r="K113" s="16">
        <v>0</v>
      </c>
      <c r="L113" s="16">
        <v>0</v>
      </c>
      <c r="M113" s="16">
        <f>IF(IF(IF(IF(ISERROR('Model inputs'!M28=1),'Model inputs'!M28=1,IF('Model inputs'!M28="","",'Model inputs'!M28=1))="",FALSE,IF(ISERROR('Model inputs'!M28=1),'Model inputs'!M28=1,IF('Model inputs'!M28="","",'Model inputs'!M28=1))),IF('Model inputs'!B62="","",'Model inputs'!B62),IF('Model inputs'!L113="","",'Model inputs'!L113))="",0,IF(IF(IF(ISERROR('Model inputs'!M28=1),'Model inputs'!M28=1,IF('Model inputs'!M28="","",'Model inputs'!M28=1))="",FALSE,IF(ISERROR('Model inputs'!M28=1),'Model inputs'!M28=1,IF('Model inputs'!M28="","",'Model inputs'!M28=1))),IF('Model inputs'!B62="","",'Model inputs'!B62),IF('Model inputs'!L113="","",'Model inputs'!L113)))+'Model inputs'!M117</f>
        <v>5</v>
      </c>
      <c r="N113" s="16">
        <f>IF(IF(IF(IF(ISERROR('Model inputs'!N28=1),'Model inputs'!N28=1,IF('Model inputs'!N28="","",'Model inputs'!N28=1))="",FALSE,IF(ISERROR('Model inputs'!N28=1),'Model inputs'!N28=1,IF('Model inputs'!N28="","",'Model inputs'!N28=1))),IF('Model inputs'!B62="","",'Model inputs'!B62),IF('Model inputs'!M113="","",'Model inputs'!M113))="",0,IF(IF(IF(ISERROR('Model inputs'!N28=1),'Model inputs'!N28=1,IF('Model inputs'!N28="","",'Model inputs'!N28=1))="",FALSE,IF(ISERROR('Model inputs'!N28=1),'Model inputs'!N28=1,IF('Model inputs'!N28="","",'Model inputs'!N28=1))),IF('Model inputs'!B62="","",'Model inputs'!B62),IF('Model inputs'!M113="","",'Model inputs'!M113)))+'Model inputs'!N117</f>
        <v>10</v>
      </c>
      <c r="O113" s="16">
        <f>IF(IF(IF(IF(ISERROR('Model inputs'!O28=1),'Model inputs'!O28=1,IF('Model inputs'!O28="","",'Model inputs'!O28=1))="",FALSE,IF(ISERROR('Model inputs'!O28=1),'Model inputs'!O28=1,IF('Model inputs'!O28="","",'Model inputs'!O28=1))),IF('Model inputs'!B62="","",'Model inputs'!B62),IF('Model inputs'!N113="","",'Model inputs'!N113))="",0,IF(IF(IF(ISERROR('Model inputs'!O28=1),'Model inputs'!O28=1,IF('Model inputs'!O28="","",'Model inputs'!O28=1))="",FALSE,IF(ISERROR('Model inputs'!O28=1),'Model inputs'!O28=1,IF('Model inputs'!O28="","",'Model inputs'!O28=1))),IF('Model inputs'!B62="","",'Model inputs'!B62),IF('Model inputs'!N113="","",'Model inputs'!N113)))+'Model inputs'!O117</f>
        <v>15</v>
      </c>
      <c r="P113" s="16">
        <f>IF(IF(IF(IF(ISERROR('Model inputs'!P28=1),'Model inputs'!P28=1,IF('Model inputs'!P28="","",'Model inputs'!P28=1))="",FALSE,IF(ISERROR('Model inputs'!P28=1),'Model inputs'!P28=1,IF('Model inputs'!P28="","",'Model inputs'!P28=1))),IF('Model inputs'!B62="","",'Model inputs'!B62),IF('Model inputs'!O113="","",'Model inputs'!O113))="",0,IF(IF(IF(ISERROR('Model inputs'!P28=1),'Model inputs'!P28=1,IF('Model inputs'!P28="","",'Model inputs'!P28=1))="",FALSE,IF(ISERROR('Model inputs'!P28=1),'Model inputs'!P28=1,IF('Model inputs'!P28="","",'Model inputs'!P28=1))),IF('Model inputs'!B62="","",'Model inputs'!B62),IF('Model inputs'!O113="","",'Model inputs'!O113)))+'Model inputs'!P117</f>
        <v>20</v>
      </c>
      <c r="Q113" s="16">
        <f>IF(IF(IF(IF(ISERROR('Model inputs'!Q28=1),'Model inputs'!Q28=1,IF('Model inputs'!Q28="","",'Model inputs'!Q28=1))="",FALSE,IF(ISERROR('Model inputs'!Q28=1),'Model inputs'!Q28=1,IF('Model inputs'!Q28="","",'Model inputs'!Q28=1))),IF('Model inputs'!B62="","",'Model inputs'!B62),IF('Model inputs'!P113="","",'Model inputs'!P113))="",0,IF(IF(IF(ISERROR('Model inputs'!Q28=1),'Model inputs'!Q28=1,IF('Model inputs'!Q28="","",'Model inputs'!Q28=1))="",FALSE,IF(ISERROR('Model inputs'!Q28=1),'Model inputs'!Q28=1,IF('Model inputs'!Q28="","",'Model inputs'!Q28=1))),IF('Model inputs'!B62="","",'Model inputs'!B62),IF('Model inputs'!P113="","",'Model inputs'!P113)))+'Model inputs'!Q117</f>
        <v>25</v>
      </c>
      <c r="R113" s="16">
        <f>IF(IF(IF(IF(ISERROR('Model inputs'!R28=1),'Model inputs'!R28=1,IF('Model inputs'!R28="","",'Model inputs'!R28=1))="",FALSE,IF(ISERROR('Model inputs'!R28=1),'Model inputs'!R28=1,IF('Model inputs'!R28="","",'Model inputs'!R28=1))),IF('Model inputs'!B62="","",'Model inputs'!B62),IF('Model inputs'!Q113="","",'Model inputs'!Q113))="",0,IF(IF(IF(ISERROR('Model inputs'!R28=1),'Model inputs'!R28=1,IF('Model inputs'!R28="","",'Model inputs'!R28=1))="",FALSE,IF(ISERROR('Model inputs'!R28=1),'Model inputs'!R28=1,IF('Model inputs'!R28="","",'Model inputs'!R28=1))),IF('Model inputs'!B62="","",'Model inputs'!B62),IF('Model inputs'!Q113="","",'Model inputs'!Q113)))+'Model inputs'!R117</f>
        <v>30</v>
      </c>
      <c r="S113" s="16">
        <f>IF(IF(IF(IF(ISERROR('Model inputs'!S28=1),'Model inputs'!S28=1,IF('Model inputs'!S28="","",'Model inputs'!S28=1))="",FALSE,IF(ISERROR('Model inputs'!S28=1),'Model inputs'!S28=1,IF('Model inputs'!S28="","",'Model inputs'!S28=1))),IF('Model inputs'!B62="","",'Model inputs'!B62),IF('Model inputs'!R113="","",'Model inputs'!R113))="",0,IF(IF(IF(ISERROR('Model inputs'!S28=1),'Model inputs'!S28=1,IF('Model inputs'!S28="","",'Model inputs'!S28=1))="",FALSE,IF(ISERROR('Model inputs'!S28=1),'Model inputs'!S28=1,IF('Model inputs'!S28="","",'Model inputs'!S28=1))),IF('Model inputs'!B62="","",'Model inputs'!B62),IF('Model inputs'!R113="","",'Model inputs'!R113)))+'Model inputs'!S117</f>
        <v>35</v>
      </c>
      <c r="T113" s="16">
        <f>IF(IF(IF(IF(ISERROR('Model inputs'!T28=1),'Model inputs'!T28=1,IF('Model inputs'!T28="","",'Model inputs'!T28=1))="",FALSE,IF(ISERROR('Model inputs'!T28=1),'Model inputs'!T28=1,IF('Model inputs'!T28="","",'Model inputs'!T28=1))),IF('Model inputs'!B62="","",'Model inputs'!B62),IF('Model inputs'!S113="","",'Model inputs'!S113))="",0,IF(IF(IF(ISERROR('Model inputs'!T28=1),'Model inputs'!T28=1,IF('Model inputs'!T28="","",'Model inputs'!T28=1))="",FALSE,IF(ISERROR('Model inputs'!T28=1),'Model inputs'!T28=1,IF('Model inputs'!T28="","",'Model inputs'!T28=1))),IF('Model inputs'!B62="","",'Model inputs'!B62),IF('Model inputs'!S113="","",'Model inputs'!S113)))+'Model inputs'!T117</f>
        <v>40</v>
      </c>
      <c r="U113" s="16">
        <f>IF(IF(IF(IF(ISERROR('Model inputs'!U28=1),'Model inputs'!U28=1,IF('Model inputs'!U28="","",'Model inputs'!U28=1))="",FALSE,IF(ISERROR('Model inputs'!U28=1),'Model inputs'!U28=1,IF('Model inputs'!U28="","",'Model inputs'!U28=1))),IF('Model inputs'!B62="","",'Model inputs'!B62),IF('Model inputs'!T113="","",'Model inputs'!T113))="",0,IF(IF(IF(ISERROR('Model inputs'!U28=1),'Model inputs'!U28=1,IF('Model inputs'!U28="","",'Model inputs'!U28=1))="",FALSE,IF(ISERROR('Model inputs'!U28=1),'Model inputs'!U28=1,IF('Model inputs'!U28="","",'Model inputs'!U28=1))),IF('Model inputs'!B62="","",'Model inputs'!B62),IF('Model inputs'!T113="","",'Model inputs'!T113)))+'Model inputs'!U117</f>
        <v>45</v>
      </c>
      <c r="V113" s="16">
        <f>IF(IF(IF(IF(ISERROR('Model inputs'!V28=1),'Model inputs'!V28=1,IF('Model inputs'!V28="","",'Model inputs'!V28=1))="",FALSE,IF(ISERROR('Model inputs'!V28=1),'Model inputs'!V28=1,IF('Model inputs'!V28="","",'Model inputs'!V28=1))),IF('Model inputs'!B62="","",'Model inputs'!B62),IF('Model inputs'!U113="","",'Model inputs'!U113))="",0,IF(IF(IF(ISERROR('Model inputs'!V28=1),'Model inputs'!V28=1,IF('Model inputs'!V28="","",'Model inputs'!V28=1))="",FALSE,IF(ISERROR('Model inputs'!V28=1),'Model inputs'!V28=1,IF('Model inputs'!V28="","",'Model inputs'!V28=1))),IF('Model inputs'!B62="","",'Model inputs'!B62),IF('Model inputs'!U113="","",'Model inputs'!U113)))+'Model inputs'!V117</f>
        <v>50</v>
      </c>
      <c r="W113" s="16">
        <f>IF(IF(IF(IF(ISERROR('Model inputs'!W28=1),'Model inputs'!W28=1,IF('Model inputs'!W28="","",'Model inputs'!W28=1))="",FALSE,IF(ISERROR('Model inputs'!W28=1),'Model inputs'!W28=1,IF('Model inputs'!W28="","",'Model inputs'!W28=1))),IF('Model inputs'!B62="","",'Model inputs'!B62),IF('Model inputs'!V113="","",'Model inputs'!V113))="",0,IF(IF(IF(ISERROR('Model inputs'!W28=1),'Model inputs'!W28=1,IF('Model inputs'!W28="","",'Model inputs'!W28=1))="",FALSE,IF(ISERROR('Model inputs'!W28=1),'Model inputs'!W28=1,IF('Model inputs'!W28="","",'Model inputs'!W28=1))),IF('Model inputs'!B62="","",'Model inputs'!B62),IF('Model inputs'!V113="","",'Model inputs'!V113)))+'Model inputs'!W117</f>
        <v>55</v>
      </c>
      <c r="X113" s="16">
        <f>IF(IF(IF(IF(ISERROR('Model inputs'!X28=1),'Model inputs'!X28=1,IF('Model inputs'!X28="","",'Model inputs'!X28=1))="",FALSE,IF(ISERROR('Model inputs'!X28=1),'Model inputs'!X28=1,IF('Model inputs'!X28="","",'Model inputs'!X28=1))),IF('Model inputs'!B62="","",'Model inputs'!B62),IF('Model inputs'!W113="","",'Model inputs'!W113))="",0,IF(IF(IF(ISERROR('Model inputs'!X28=1),'Model inputs'!X28=1,IF('Model inputs'!X28="","",'Model inputs'!X28=1))="",FALSE,IF(ISERROR('Model inputs'!X28=1),'Model inputs'!X28=1,IF('Model inputs'!X28="","",'Model inputs'!X28=1))),IF('Model inputs'!B62="","",'Model inputs'!B62),IF('Model inputs'!W113="","",'Model inputs'!W113)))+'Model inputs'!X117</f>
        <v>60</v>
      </c>
      <c r="Y113" s="16">
        <f>IF(IF(IF(IF(ISERROR('Model inputs'!Y28=1),'Model inputs'!Y28=1,IF('Model inputs'!Y28="","",'Model inputs'!Y28=1))="",FALSE,IF(ISERROR('Model inputs'!Y28=1),'Model inputs'!Y28=1,IF('Model inputs'!Y28="","",'Model inputs'!Y28=1))),IF('Model inputs'!B62="","",'Model inputs'!B62),IF('Model inputs'!X113="","",'Model inputs'!X113))="",0,IF(IF(IF(ISERROR('Model inputs'!Y28=1),'Model inputs'!Y28=1,IF('Model inputs'!Y28="","",'Model inputs'!Y28=1))="",FALSE,IF(ISERROR('Model inputs'!Y28=1),'Model inputs'!Y28=1,IF('Model inputs'!Y28="","",'Model inputs'!Y28=1))),IF('Model inputs'!B62="","",'Model inputs'!B62),IF('Model inputs'!X113="","",'Model inputs'!X113)))+'Model inputs'!Y117</f>
        <v>65</v>
      </c>
      <c r="Z113" s="16">
        <f>IF(IF(IF(IF(ISERROR('Model inputs'!Z28=1),'Model inputs'!Z28=1,IF('Model inputs'!Z28="","",'Model inputs'!Z28=1))="",FALSE,IF(ISERROR('Model inputs'!Z28=1),'Model inputs'!Z28=1,IF('Model inputs'!Z28="","",'Model inputs'!Z28=1))),IF('Model inputs'!B62="","",'Model inputs'!B62),IF('Model inputs'!Y113="","",'Model inputs'!Y113))="",0,IF(IF(IF(ISERROR('Model inputs'!Z28=1),'Model inputs'!Z28=1,IF('Model inputs'!Z28="","",'Model inputs'!Z28=1))="",FALSE,IF(ISERROR('Model inputs'!Z28=1),'Model inputs'!Z28=1,IF('Model inputs'!Z28="","",'Model inputs'!Z28=1))),IF('Model inputs'!B62="","",'Model inputs'!B62),IF('Model inputs'!Y113="","",'Model inputs'!Y113)))+'Model inputs'!Z117</f>
        <v>70</v>
      </c>
      <c r="AA113" s="16">
        <f>IF(IF(IF(IF(ISERROR('Model inputs'!AA28=1),'Model inputs'!AA28=1,IF('Model inputs'!AA28="","",'Model inputs'!AA28=1))="",FALSE,IF(ISERROR('Model inputs'!AA28=1),'Model inputs'!AA28=1,IF('Model inputs'!AA28="","",'Model inputs'!AA28=1))),IF('Model inputs'!B62="","",'Model inputs'!B62),IF('Model inputs'!Z113="","",'Model inputs'!Z113))="",0,IF(IF(IF(ISERROR('Model inputs'!AA28=1),'Model inputs'!AA28=1,IF('Model inputs'!AA28="","",'Model inputs'!AA28=1))="",FALSE,IF(ISERROR('Model inputs'!AA28=1),'Model inputs'!AA28=1,IF('Model inputs'!AA28="","",'Model inputs'!AA28=1))),IF('Model inputs'!B62="","",'Model inputs'!B62),IF('Model inputs'!Z113="","",'Model inputs'!Z113)))+'Model inputs'!AA117</f>
        <v>75</v>
      </c>
      <c r="AB113" s="16">
        <f>IF(IF(IF(IF(ISERROR('Model inputs'!AB28=1),'Model inputs'!AB28=1,IF('Model inputs'!AB28="","",'Model inputs'!AB28=1))="",FALSE,IF(ISERROR('Model inputs'!AB28=1),'Model inputs'!AB28=1,IF('Model inputs'!AB28="","",'Model inputs'!AB28=1))),IF('Model inputs'!B62="","",'Model inputs'!B62),IF('Model inputs'!AA113="","",'Model inputs'!AA113))="",0,IF(IF(IF(ISERROR('Model inputs'!AB28=1),'Model inputs'!AB28=1,IF('Model inputs'!AB28="","",'Model inputs'!AB28=1))="",FALSE,IF(ISERROR('Model inputs'!AB28=1),'Model inputs'!AB28=1,IF('Model inputs'!AB28="","",'Model inputs'!AB28=1))),IF('Model inputs'!B62="","",'Model inputs'!B62),IF('Model inputs'!AA113="","",'Model inputs'!AA113)))+'Model inputs'!AB117</f>
        <v>80</v>
      </c>
      <c r="AC113" s="16">
        <f>IF(IF(IF(IF(ISERROR('Model inputs'!AC28=1),'Model inputs'!AC28=1,IF('Model inputs'!AC28="","",'Model inputs'!AC28=1))="",FALSE,IF(ISERROR('Model inputs'!AC28=1),'Model inputs'!AC28=1,IF('Model inputs'!AC28="","",'Model inputs'!AC28=1))),IF('Model inputs'!B62="","",'Model inputs'!B62),IF('Model inputs'!AB113="","",'Model inputs'!AB113))="",0,IF(IF(IF(ISERROR('Model inputs'!AC28=1),'Model inputs'!AC28=1,IF('Model inputs'!AC28="","",'Model inputs'!AC28=1))="",FALSE,IF(ISERROR('Model inputs'!AC28=1),'Model inputs'!AC28=1,IF('Model inputs'!AC28="","",'Model inputs'!AC28=1))),IF('Model inputs'!B62="","",'Model inputs'!B62),IF('Model inputs'!AB113="","",'Model inputs'!AB113)))+'Model inputs'!AC117</f>
        <v>85</v>
      </c>
      <c r="AD113" s="16">
        <f>IF(IF(IF(IF(ISERROR('Model inputs'!AD28=1),'Model inputs'!AD28=1,IF('Model inputs'!AD28="","",'Model inputs'!AD28=1))="",FALSE,IF(ISERROR('Model inputs'!AD28=1),'Model inputs'!AD28=1,IF('Model inputs'!AD28="","",'Model inputs'!AD28=1))),IF('Model inputs'!B62="","",'Model inputs'!B62),IF('Model inputs'!AC113="","",'Model inputs'!AC113))="",0,IF(IF(IF(ISERROR('Model inputs'!AD28=1),'Model inputs'!AD28=1,IF('Model inputs'!AD28="","",'Model inputs'!AD28=1))="",FALSE,IF(ISERROR('Model inputs'!AD28=1),'Model inputs'!AD28=1,IF('Model inputs'!AD28="","",'Model inputs'!AD28=1))),IF('Model inputs'!B62="","",'Model inputs'!B62),IF('Model inputs'!AC113="","",'Model inputs'!AC113)))+'Model inputs'!AD117</f>
        <v>90</v>
      </c>
      <c r="AE113" s="16">
        <f>IF(IF(IF(IF(ISERROR('Model inputs'!AE28=1),'Model inputs'!AE28=1,IF('Model inputs'!AE28="","",'Model inputs'!AE28=1))="",FALSE,IF(ISERROR('Model inputs'!AE28=1),'Model inputs'!AE28=1,IF('Model inputs'!AE28="","",'Model inputs'!AE28=1))),IF('Model inputs'!B62="","",'Model inputs'!B62),IF('Model inputs'!AD113="","",'Model inputs'!AD113))="",0,IF(IF(IF(ISERROR('Model inputs'!AE28=1),'Model inputs'!AE28=1,IF('Model inputs'!AE28="","",'Model inputs'!AE28=1))="",FALSE,IF(ISERROR('Model inputs'!AE28=1),'Model inputs'!AE28=1,IF('Model inputs'!AE28="","",'Model inputs'!AE28=1))),IF('Model inputs'!B62="","",'Model inputs'!B62),IF('Model inputs'!AD113="","",'Model inputs'!AD113)))+'Model inputs'!AE117</f>
        <v>95</v>
      </c>
      <c r="AF113" s="16">
        <f>IF(IF(IF(IF(ISERROR('Model inputs'!AF28=1),'Model inputs'!AF28=1,IF('Model inputs'!AF28="","",'Model inputs'!AF28=1))="",FALSE,IF(ISERROR('Model inputs'!AF28=1),'Model inputs'!AF28=1,IF('Model inputs'!AF28="","",'Model inputs'!AF28=1))),IF('Model inputs'!B62="","",'Model inputs'!B62),IF('Model inputs'!AE113="","",'Model inputs'!AE113))="",0,IF(IF(IF(ISERROR('Model inputs'!AF28=1),'Model inputs'!AF28=1,IF('Model inputs'!AF28="","",'Model inputs'!AF28=1))="",FALSE,IF(ISERROR('Model inputs'!AF28=1),'Model inputs'!AF28=1,IF('Model inputs'!AF28="","",'Model inputs'!AF28=1))),IF('Model inputs'!B62="","",'Model inputs'!B62),IF('Model inputs'!AE113="","",'Model inputs'!AE113)))+'Model inputs'!AF117</f>
        <v>100</v>
      </c>
      <c r="AG113" s="16">
        <f>IF(IF(IF(IF(ISERROR('Model inputs'!AG28=1),'Model inputs'!AG28=1,IF('Model inputs'!AG28="","",'Model inputs'!AG28=1))="",FALSE,IF(ISERROR('Model inputs'!AG28=1),'Model inputs'!AG28=1,IF('Model inputs'!AG28="","",'Model inputs'!AG28=1))),IF('Model inputs'!B62="","",'Model inputs'!B62),IF('Model inputs'!AF113="","",'Model inputs'!AF113))="",0,IF(IF(IF(ISERROR('Model inputs'!AG28=1),'Model inputs'!AG28=1,IF('Model inputs'!AG28="","",'Model inputs'!AG28=1))="",FALSE,IF(ISERROR('Model inputs'!AG28=1),'Model inputs'!AG28=1,IF('Model inputs'!AG28="","",'Model inputs'!AG28=1))),IF('Model inputs'!B62="","",'Model inputs'!B62),IF('Model inputs'!AF113="","",'Model inputs'!AF113)))+'Model inputs'!AG117</f>
        <v>105</v>
      </c>
      <c r="AH113" s="16">
        <f>IF(IF(IF(IF(ISERROR('Model inputs'!AH28=1),'Model inputs'!AH28=1,IF('Model inputs'!AH28="","",'Model inputs'!AH28=1))="",FALSE,IF(ISERROR('Model inputs'!AH28=1),'Model inputs'!AH28=1,IF('Model inputs'!AH28="","",'Model inputs'!AH28=1))),IF('Model inputs'!B62="","",'Model inputs'!B62),IF('Model inputs'!AG113="","",'Model inputs'!AG113))="",0,IF(IF(IF(ISERROR('Model inputs'!AH28=1),'Model inputs'!AH28=1,IF('Model inputs'!AH28="","",'Model inputs'!AH28=1))="",FALSE,IF(ISERROR('Model inputs'!AH28=1),'Model inputs'!AH28=1,IF('Model inputs'!AH28="","",'Model inputs'!AH28=1))),IF('Model inputs'!B62="","",'Model inputs'!B62),IF('Model inputs'!AG113="","",'Model inputs'!AG113)))+'Model inputs'!AH117</f>
        <v>110</v>
      </c>
      <c r="AI113" s="16">
        <f>IF(IF(IF(IF(ISERROR('Model inputs'!AI28=1),'Model inputs'!AI28=1,IF('Model inputs'!AI28="","",'Model inputs'!AI28=1))="",FALSE,IF(ISERROR('Model inputs'!AI28=1),'Model inputs'!AI28=1,IF('Model inputs'!AI28="","",'Model inputs'!AI28=1))),IF('Model inputs'!B62="","",'Model inputs'!B62),IF('Model inputs'!AH113="","",'Model inputs'!AH113))="",0,IF(IF(IF(ISERROR('Model inputs'!AI28=1),'Model inputs'!AI28=1,IF('Model inputs'!AI28="","",'Model inputs'!AI28=1))="",FALSE,IF(ISERROR('Model inputs'!AI28=1),'Model inputs'!AI28=1,IF('Model inputs'!AI28="","",'Model inputs'!AI28=1))),IF('Model inputs'!B62="","",'Model inputs'!B62),IF('Model inputs'!AH113="","",'Model inputs'!AH113)))+'Model inputs'!AI117</f>
        <v>115</v>
      </c>
      <c r="AJ113" s="16">
        <f>IF(IF(IF(IF(ISERROR('Model inputs'!AJ28=1),'Model inputs'!AJ28=1,IF('Model inputs'!AJ28="","",'Model inputs'!AJ28=1))="",FALSE,IF(ISERROR('Model inputs'!AJ28=1),'Model inputs'!AJ28=1,IF('Model inputs'!AJ28="","",'Model inputs'!AJ28=1))),IF('Model inputs'!B62="","",'Model inputs'!B62),IF('Model inputs'!AI113="","",'Model inputs'!AI113))="",0,IF(IF(IF(ISERROR('Model inputs'!AJ28=1),'Model inputs'!AJ28=1,IF('Model inputs'!AJ28="","",'Model inputs'!AJ28=1))="",FALSE,IF(ISERROR('Model inputs'!AJ28=1),'Model inputs'!AJ28=1,IF('Model inputs'!AJ28="","",'Model inputs'!AJ28=1))),IF('Model inputs'!B62="","",'Model inputs'!B62),IF('Model inputs'!AI113="","",'Model inputs'!AI113)))+'Model inputs'!AJ117</f>
        <v>120</v>
      </c>
    </row>
    <row r="114">
      <c r="A114" t="inlineStr" s="21">
        <is>
          <t xml:space="preserve">Investigations</t>
        </is>
      </c>
      <c r="L114" s="12">
        <f>SUM('Model inputs'!L115,'Model inputs'!L116)</f>
        <v>0</v>
      </c>
      <c r="M114" s="12">
        <f>SUM('Model inputs'!M115,'Model inputs'!M116)</f>
        <v>800</v>
      </c>
      <c r="N114" s="12">
        <f>SUM('Model inputs'!N115,'Model inputs'!N116)</f>
        <v>1100</v>
      </c>
      <c r="O114" s="12">
        <f>SUM('Model inputs'!O115,'Model inputs'!O116)</f>
        <v>1400</v>
      </c>
      <c r="P114" s="12">
        <f>SUM('Model inputs'!P115,'Model inputs'!P116)</f>
        <v>1700</v>
      </c>
      <c r="Q114" s="12">
        <f>SUM('Model inputs'!Q115,'Model inputs'!Q116)</f>
        <v>2000</v>
      </c>
      <c r="R114" s="12">
        <f>SUM('Model inputs'!R115,'Model inputs'!R116)</f>
        <v>2300</v>
      </c>
      <c r="S114" s="12">
        <f>SUM('Model inputs'!S115,'Model inputs'!S116)</f>
        <v>2600</v>
      </c>
      <c r="T114" s="12">
        <f>SUM('Model inputs'!T115,'Model inputs'!T116)</f>
        <v>2900</v>
      </c>
      <c r="U114" s="12">
        <f>SUM('Model inputs'!U115,'Model inputs'!U116)</f>
        <v>3200</v>
      </c>
      <c r="V114" s="12">
        <f>SUM('Model inputs'!V115,'Model inputs'!V116)</f>
        <v>3500</v>
      </c>
      <c r="W114" s="12">
        <f>SUM('Model inputs'!W115,'Model inputs'!W116)</f>
        <v>3800</v>
      </c>
      <c r="X114" s="12">
        <f>SUM('Model inputs'!X115,'Model inputs'!X116)</f>
        <v>4100</v>
      </c>
      <c r="Y114" s="12">
        <f>SUM('Model inputs'!Y115,'Model inputs'!Y116)</f>
        <v>4400</v>
      </c>
      <c r="Z114" s="12">
        <f>SUM('Model inputs'!Z115,'Model inputs'!Z116)</f>
        <v>4700</v>
      </c>
      <c r="AA114" s="12">
        <f>SUM('Model inputs'!AA115,'Model inputs'!AA116)</f>
        <v>5000</v>
      </c>
      <c r="AB114" s="12">
        <f>SUM('Model inputs'!AB115,'Model inputs'!AB116)</f>
        <v>5300</v>
      </c>
      <c r="AC114" s="12">
        <f>SUM('Model inputs'!AC115,'Model inputs'!AC116)</f>
        <v>5600</v>
      </c>
      <c r="AD114" s="12">
        <f>SUM('Model inputs'!AD115,'Model inputs'!AD116)</f>
        <v>5900</v>
      </c>
      <c r="AE114" s="12">
        <f>SUM('Model inputs'!AE115,'Model inputs'!AE116)</f>
        <v>6200</v>
      </c>
      <c r="AF114" s="12">
        <f>SUM('Model inputs'!AF115,'Model inputs'!AF116)</f>
        <v>6500</v>
      </c>
      <c r="AG114" s="12">
        <f>SUM('Model inputs'!AG115,'Model inputs'!AG116)</f>
        <v>6800</v>
      </c>
      <c r="AH114" s="12">
        <f>SUM('Model inputs'!AH115,'Model inputs'!AH116)</f>
        <v>7100</v>
      </c>
      <c r="AI114" s="12">
        <f>SUM('Model inputs'!AI115,'Model inputs'!AI116)</f>
        <v>7400</v>
      </c>
      <c r="AJ114" s="12">
        <f>SUM('Model inputs'!AJ115,'Model inputs'!AJ116)</f>
        <v>7700</v>
      </c>
    </row>
    <row r="115" outlineLevel="1">
      <c r="A115" t="inlineStr" s="22">
        <is>
          <t xml:space="preserve">Investigations &gt; Free</t>
        </is>
      </c>
      <c r="L115" s="9">
        <f>'Monthly forecast and cash'!B10</f>
        <v>0</v>
      </c>
      <c r="M115" s="9">
        <f>IF(IF(EXACT("Free","Team"),IF('Model inputs'!M113="","",'Model inputs'!M113),IF('Model inputs'!M105="","",'Model inputs'!M105))="",0,IF(EXACT("Free","Team"),IF('Model inputs'!M113="","",'Model inputs'!M113),IF('Model inputs'!M105="","",'Model inputs'!M105)))*'Model inputs'!B7</f>
        <v>500</v>
      </c>
      <c r="N115" s="9">
        <f>IF(IF(EXACT("Free","Team"),IF('Model inputs'!N113="","",'Model inputs'!N113),IF('Model inputs'!N105="","",'Model inputs'!N105))="",0,IF(EXACT("Free","Team"),IF('Model inputs'!N113="","",'Model inputs'!N113),IF('Model inputs'!N105="","",'Model inputs'!N105)))*'Model inputs'!B7</f>
        <v>500</v>
      </c>
      <c r="O115" s="9">
        <f>IF(IF(EXACT("Free","Team"),IF('Model inputs'!O113="","",'Model inputs'!O113),IF('Model inputs'!O105="","",'Model inputs'!O105))="",0,IF(EXACT("Free","Team"),IF('Model inputs'!O113="","",'Model inputs'!O113),IF('Model inputs'!O105="","",'Model inputs'!O105)))*'Model inputs'!B7</f>
        <v>500</v>
      </c>
      <c r="P115" s="9">
        <f>IF(IF(EXACT("Free","Team"),IF('Model inputs'!P113="","",'Model inputs'!P113),IF('Model inputs'!P105="","",'Model inputs'!P105))="",0,IF(EXACT("Free","Team"),IF('Model inputs'!P113="","",'Model inputs'!P113),IF('Model inputs'!P105="","",'Model inputs'!P105)))*'Model inputs'!B7</f>
        <v>500</v>
      </c>
      <c r="Q115" s="9">
        <f>IF(IF(EXACT("Free","Team"),IF('Model inputs'!Q113="","",'Model inputs'!Q113),IF('Model inputs'!Q105="","",'Model inputs'!Q105))="",0,IF(EXACT("Free","Team"),IF('Model inputs'!Q113="","",'Model inputs'!Q113),IF('Model inputs'!Q105="","",'Model inputs'!Q105)))*'Model inputs'!B7</f>
        <v>500</v>
      </c>
      <c r="R115" s="9">
        <f>IF(IF(EXACT("Free","Team"),IF('Model inputs'!R113="","",'Model inputs'!R113),IF('Model inputs'!R105="","",'Model inputs'!R105))="",0,IF(EXACT("Free","Team"),IF('Model inputs'!R113="","",'Model inputs'!R113),IF('Model inputs'!R105="","",'Model inputs'!R105)))*'Model inputs'!B7</f>
        <v>500</v>
      </c>
      <c r="S115" s="9">
        <f>IF(IF(EXACT("Free","Team"),IF('Model inputs'!S113="","",'Model inputs'!S113),IF('Model inputs'!S105="","",'Model inputs'!S105))="",0,IF(EXACT("Free","Team"),IF('Model inputs'!S113="","",'Model inputs'!S113),IF('Model inputs'!S105="","",'Model inputs'!S105)))*'Model inputs'!B7</f>
        <v>500</v>
      </c>
      <c r="T115" s="9">
        <f>IF(IF(EXACT("Free","Team"),IF('Model inputs'!T113="","",'Model inputs'!T113),IF('Model inputs'!T105="","",'Model inputs'!T105))="",0,IF(EXACT("Free","Team"),IF('Model inputs'!T113="","",'Model inputs'!T113),IF('Model inputs'!T105="","",'Model inputs'!T105)))*'Model inputs'!B7</f>
        <v>500</v>
      </c>
      <c r="U115" s="9">
        <f>IF(IF(EXACT("Free","Team"),IF('Model inputs'!U113="","",'Model inputs'!U113),IF('Model inputs'!U105="","",'Model inputs'!U105))="",0,IF(EXACT("Free","Team"),IF('Model inputs'!U113="","",'Model inputs'!U113),IF('Model inputs'!U105="","",'Model inputs'!U105)))*'Model inputs'!B7</f>
        <v>500</v>
      </c>
      <c r="V115" s="9">
        <f>IF(IF(EXACT("Free","Team"),IF('Model inputs'!V113="","",'Model inputs'!V113),IF('Model inputs'!V105="","",'Model inputs'!V105))="",0,IF(EXACT("Free","Team"),IF('Model inputs'!V113="","",'Model inputs'!V113),IF('Model inputs'!V105="","",'Model inputs'!V105)))*'Model inputs'!B7</f>
        <v>500</v>
      </c>
      <c r="W115" s="9">
        <f>IF(IF(EXACT("Free","Team"),IF('Model inputs'!W113="","",'Model inputs'!W113),IF('Model inputs'!W105="","",'Model inputs'!W105))="",0,IF(EXACT("Free","Team"),IF('Model inputs'!W113="","",'Model inputs'!W113),IF('Model inputs'!W105="","",'Model inputs'!W105)))*'Model inputs'!B7</f>
        <v>500</v>
      </c>
      <c r="X115" s="9">
        <f>IF(IF(EXACT("Free","Team"),IF('Model inputs'!X113="","",'Model inputs'!X113),IF('Model inputs'!X105="","",'Model inputs'!X105))="",0,IF(EXACT("Free","Team"),IF('Model inputs'!X113="","",'Model inputs'!X113),IF('Model inputs'!X105="","",'Model inputs'!X105)))*'Model inputs'!B7</f>
        <v>500</v>
      </c>
      <c r="Y115" s="9">
        <f>IF(IF(EXACT("Free","Team"),IF('Model inputs'!Y113="","",'Model inputs'!Y113),IF('Model inputs'!Y105="","",'Model inputs'!Y105))="",0,IF(EXACT("Free","Team"),IF('Model inputs'!Y113="","",'Model inputs'!Y113),IF('Model inputs'!Y105="","",'Model inputs'!Y105)))*'Model inputs'!B7</f>
        <v>500</v>
      </c>
      <c r="Z115" s="9">
        <f>IF(IF(EXACT("Free","Team"),IF('Model inputs'!Z113="","",'Model inputs'!Z113),IF('Model inputs'!Z105="","",'Model inputs'!Z105))="",0,IF(EXACT("Free","Team"),IF('Model inputs'!Z113="","",'Model inputs'!Z113),IF('Model inputs'!Z105="","",'Model inputs'!Z105)))*'Model inputs'!B7</f>
        <v>500</v>
      </c>
      <c r="AA115" s="9">
        <f>IF(IF(EXACT("Free","Team"),IF('Model inputs'!AA113="","",'Model inputs'!AA113),IF('Model inputs'!AA105="","",'Model inputs'!AA105))="",0,IF(EXACT("Free","Team"),IF('Model inputs'!AA113="","",'Model inputs'!AA113),IF('Model inputs'!AA105="","",'Model inputs'!AA105)))*'Model inputs'!B7</f>
        <v>500</v>
      </c>
      <c r="AB115" s="9">
        <f>IF(IF(EXACT("Free","Team"),IF('Model inputs'!AB113="","",'Model inputs'!AB113),IF('Model inputs'!AB105="","",'Model inputs'!AB105))="",0,IF(EXACT("Free","Team"),IF('Model inputs'!AB113="","",'Model inputs'!AB113),IF('Model inputs'!AB105="","",'Model inputs'!AB105)))*'Model inputs'!B7</f>
        <v>500</v>
      </c>
      <c r="AC115" s="9">
        <f>IF(IF(EXACT("Free","Team"),IF('Model inputs'!AC113="","",'Model inputs'!AC113),IF('Model inputs'!AC105="","",'Model inputs'!AC105))="",0,IF(EXACT("Free","Team"),IF('Model inputs'!AC113="","",'Model inputs'!AC113),IF('Model inputs'!AC105="","",'Model inputs'!AC105)))*'Model inputs'!B7</f>
        <v>500</v>
      </c>
      <c r="AD115" s="9">
        <f>IF(IF(EXACT("Free","Team"),IF('Model inputs'!AD113="","",'Model inputs'!AD113),IF('Model inputs'!AD105="","",'Model inputs'!AD105))="",0,IF(EXACT("Free","Team"),IF('Model inputs'!AD113="","",'Model inputs'!AD113),IF('Model inputs'!AD105="","",'Model inputs'!AD105)))*'Model inputs'!B7</f>
        <v>500</v>
      </c>
      <c r="AE115" s="9">
        <f>IF(IF(EXACT("Free","Team"),IF('Model inputs'!AE113="","",'Model inputs'!AE113),IF('Model inputs'!AE105="","",'Model inputs'!AE105))="",0,IF(EXACT("Free","Team"),IF('Model inputs'!AE113="","",'Model inputs'!AE113),IF('Model inputs'!AE105="","",'Model inputs'!AE105)))*'Model inputs'!B7</f>
        <v>500</v>
      </c>
      <c r="AF115" s="9">
        <f>IF(IF(EXACT("Free","Team"),IF('Model inputs'!AF113="","",'Model inputs'!AF113),IF('Model inputs'!AF105="","",'Model inputs'!AF105))="",0,IF(EXACT("Free","Team"),IF('Model inputs'!AF113="","",'Model inputs'!AF113),IF('Model inputs'!AF105="","",'Model inputs'!AF105)))*'Model inputs'!B7</f>
        <v>500</v>
      </c>
      <c r="AG115" s="9">
        <f>IF(IF(EXACT("Free","Team"),IF('Model inputs'!AG113="","",'Model inputs'!AG113),IF('Model inputs'!AG105="","",'Model inputs'!AG105))="",0,IF(EXACT("Free","Team"),IF('Model inputs'!AG113="","",'Model inputs'!AG113),IF('Model inputs'!AG105="","",'Model inputs'!AG105)))*'Model inputs'!B7</f>
        <v>500</v>
      </c>
      <c r="AH115" s="9">
        <f>IF(IF(EXACT("Free","Team"),IF('Model inputs'!AH113="","",'Model inputs'!AH113),IF('Model inputs'!AH105="","",'Model inputs'!AH105))="",0,IF(EXACT("Free","Team"),IF('Model inputs'!AH113="","",'Model inputs'!AH113),IF('Model inputs'!AH105="","",'Model inputs'!AH105)))*'Model inputs'!B7</f>
        <v>500</v>
      </c>
      <c r="AI115" s="9">
        <f>IF(IF(EXACT("Free","Team"),IF('Model inputs'!AI113="","",'Model inputs'!AI113),IF('Model inputs'!AI105="","",'Model inputs'!AI105))="",0,IF(EXACT("Free","Team"),IF('Model inputs'!AI113="","",'Model inputs'!AI113),IF('Model inputs'!AI105="","",'Model inputs'!AI105)))*'Model inputs'!B7</f>
        <v>500</v>
      </c>
      <c r="AJ115" s="9">
        <f>IF(IF(EXACT("Free","Team"),IF('Model inputs'!AJ113="","",'Model inputs'!AJ113),IF('Model inputs'!AJ105="","",'Model inputs'!AJ105))="",0,IF(EXACT("Free","Team"),IF('Model inputs'!AJ113="","",'Model inputs'!AJ113),IF('Model inputs'!AJ105="","",'Model inputs'!AJ105)))*'Model inputs'!B7</f>
        <v>500</v>
      </c>
    </row>
    <row r="116" outlineLevel="1">
      <c r="A116" t="inlineStr" s="22">
        <is>
          <t xml:space="preserve">Investigations &gt; Team</t>
        </is>
      </c>
      <c r="L116" s="9">
        <f>'Monthly forecast and cash'!B11</f>
        <v>0</v>
      </c>
      <c r="M116" s="9">
        <f>IF(IF(EXACT("Team","Team"),IF('Model inputs'!M113="","",'Model inputs'!M113),IF('Model inputs'!M105="","",'Model inputs'!M105))="",0,IF(EXACT("Team","Team"),IF('Model inputs'!M113="","",'Model inputs'!M113),IF('Model inputs'!M105="","",'Model inputs'!M105)))*'Model inputs'!B8</f>
        <v>300</v>
      </c>
      <c r="N116" s="9">
        <f>IF(IF(EXACT("Team","Team"),IF('Model inputs'!N113="","",'Model inputs'!N113),IF('Model inputs'!N105="","",'Model inputs'!N105))="",0,IF(EXACT("Team","Team"),IF('Model inputs'!N113="","",'Model inputs'!N113),IF('Model inputs'!N105="","",'Model inputs'!N105)))*'Model inputs'!B8</f>
        <v>600</v>
      </c>
      <c r="O116" s="9">
        <f>IF(IF(EXACT("Team","Team"),IF('Model inputs'!O113="","",'Model inputs'!O113),IF('Model inputs'!O105="","",'Model inputs'!O105))="",0,IF(EXACT("Team","Team"),IF('Model inputs'!O113="","",'Model inputs'!O113),IF('Model inputs'!O105="","",'Model inputs'!O105)))*'Model inputs'!B8</f>
        <v>900</v>
      </c>
      <c r="P116" s="9">
        <f>IF(IF(EXACT("Team","Team"),IF('Model inputs'!P113="","",'Model inputs'!P113),IF('Model inputs'!P105="","",'Model inputs'!P105))="",0,IF(EXACT("Team","Team"),IF('Model inputs'!P113="","",'Model inputs'!P113),IF('Model inputs'!P105="","",'Model inputs'!P105)))*'Model inputs'!B8</f>
        <v>1200</v>
      </c>
      <c r="Q116" s="9">
        <f>IF(IF(EXACT("Team","Team"),IF('Model inputs'!Q113="","",'Model inputs'!Q113),IF('Model inputs'!Q105="","",'Model inputs'!Q105))="",0,IF(EXACT("Team","Team"),IF('Model inputs'!Q113="","",'Model inputs'!Q113),IF('Model inputs'!Q105="","",'Model inputs'!Q105)))*'Model inputs'!B8</f>
        <v>1500</v>
      </c>
      <c r="R116" s="9">
        <f>IF(IF(EXACT("Team","Team"),IF('Model inputs'!R113="","",'Model inputs'!R113),IF('Model inputs'!R105="","",'Model inputs'!R105))="",0,IF(EXACT("Team","Team"),IF('Model inputs'!R113="","",'Model inputs'!R113),IF('Model inputs'!R105="","",'Model inputs'!R105)))*'Model inputs'!B8</f>
        <v>1800</v>
      </c>
      <c r="S116" s="9">
        <f>IF(IF(EXACT("Team","Team"),IF('Model inputs'!S113="","",'Model inputs'!S113),IF('Model inputs'!S105="","",'Model inputs'!S105))="",0,IF(EXACT("Team","Team"),IF('Model inputs'!S113="","",'Model inputs'!S113),IF('Model inputs'!S105="","",'Model inputs'!S105)))*'Model inputs'!B8</f>
        <v>2100</v>
      </c>
      <c r="T116" s="9">
        <f>IF(IF(EXACT("Team","Team"),IF('Model inputs'!T113="","",'Model inputs'!T113),IF('Model inputs'!T105="","",'Model inputs'!T105))="",0,IF(EXACT("Team","Team"),IF('Model inputs'!T113="","",'Model inputs'!T113),IF('Model inputs'!T105="","",'Model inputs'!T105)))*'Model inputs'!B8</f>
        <v>2400</v>
      </c>
      <c r="U116" s="9">
        <f>IF(IF(EXACT("Team","Team"),IF('Model inputs'!U113="","",'Model inputs'!U113),IF('Model inputs'!U105="","",'Model inputs'!U105))="",0,IF(EXACT("Team","Team"),IF('Model inputs'!U113="","",'Model inputs'!U113),IF('Model inputs'!U105="","",'Model inputs'!U105)))*'Model inputs'!B8</f>
        <v>2700</v>
      </c>
      <c r="V116" s="9">
        <f>IF(IF(EXACT("Team","Team"),IF('Model inputs'!V113="","",'Model inputs'!V113),IF('Model inputs'!V105="","",'Model inputs'!V105))="",0,IF(EXACT("Team","Team"),IF('Model inputs'!V113="","",'Model inputs'!V113),IF('Model inputs'!V105="","",'Model inputs'!V105)))*'Model inputs'!B8</f>
        <v>3000</v>
      </c>
      <c r="W116" s="9">
        <f>IF(IF(EXACT("Team","Team"),IF('Model inputs'!W113="","",'Model inputs'!W113),IF('Model inputs'!W105="","",'Model inputs'!W105))="",0,IF(EXACT("Team","Team"),IF('Model inputs'!W113="","",'Model inputs'!W113),IF('Model inputs'!W105="","",'Model inputs'!W105)))*'Model inputs'!B8</f>
        <v>3300</v>
      </c>
      <c r="X116" s="9">
        <f>IF(IF(EXACT("Team","Team"),IF('Model inputs'!X113="","",'Model inputs'!X113),IF('Model inputs'!X105="","",'Model inputs'!X105))="",0,IF(EXACT("Team","Team"),IF('Model inputs'!X113="","",'Model inputs'!X113),IF('Model inputs'!X105="","",'Model inputs'!X105)))*'Model inputs'!B8</f>
        <v>3600</v>
      </c>
      <c r="Y116" s="9">
        <f>IF(IF(EXACT("Team","Team"),IF('Model inputs'!Y113="","",'Model inputs'!Y113),IF('Model inputs'!Y105="","",'Model inputs'!Y105))="",0,IF(EXACT("Team","Team"),IF('Model inputs'!Y113="","",'Model inputs'!Y113),IF('Model inputs'!Y105="","",'Model inputs'!Y105)))*'Model inputs'!B8</f>
        <v>3900</v>
      </c>
      <c r="Z116" s="9">
        <f>IF(IF(EXACT("Team","Team"),IF('Model inputs'!Z113="","",'Model inputs'!Z113),IF('Model inputs'!Z105="","",'Model inputs'!Z105))="",0,IF(EXACT("Team","Team"),IF('Model inputs'!Z113="","",'Model inputs'!Z113),IF('Model inputs'!Z105="","",'Model inputs'!Z105)))*'Model inputs'!B8</f>
        <v>4200</v>
      </c>
      <c r="AA116" s="9">
        <f>IF(IF(EXACT("Team","Team"),IF('Model inputs'!AA113="","",'Model inputs'!AA113),IF('Model inputs'!AA105="","",'Model inputs'!AA105))="",0,IF(EXACT("Team","Team"),IF('Model inputs'!AA113="","",'Model inputs'!AA113),IF('Model inputs'!AA105="","",'Model inputs'!AA105)))*'Model inputs'!B8</f>
        <v>4500</v>
      </c>
      <c r="AB116" s="9">
        <f>IF(IF(EXACT("Team","Team"),IF('Model inputs'!AB113="","",'Model inputs'!AB113),IF('Model inputs'!AB105="","",'Model inputs'!AB105))="",0,IF(EXACT("Team","Team"),IF('Model inputs'!AB113="","",'Model inputs'!AB113),IF('Model inputs'!AB105="","",'Model inputs'!AB105)))*'Model inputs'!B8</f>
        <v>4800</v>
      </c>
      <c r="AC116" s="9">
        <f>IF(IF(EXACT("Team","Team"),IF('Model inputs'!AC113="","",'Model inputs'!AC113),IF('Model inputs'!AC105="","",'Model inputs'!AC105))="",0,IF(EXACT("Team","Team"),IF('Model inputs'!AC113="","",'Model inputs'!AC113),IF('Model inputs'!AC105="","",'Model inputs'!AC105)))*'Model inputs'!B8</f>
        <v>5100</v>
      </c>
      <c r="AD116" s="9">
        <f>IF(IF(EXACT("Team","Team"),IF('Model inputs'!AD113="","",'Model inputs'!AD113),IF('Model inputs'!AD105="","",'Model inputs'!AD105))="",0,IF(EXACT("Team","Team"),IF('Model inputs'!AD113="","",'Model inputs'!AD113),IF('Model inputs'!AD105="","",'Model inputs'!AD105)))*'Model inputs'!B8</f>
        <v>5400</v>
      </c>
      <c r="AE116" s="9">
        <f>IF(IF(EXACT("Team","Team"),IF('Model inputs'!AE113="","",'Model inputs'!AE113),IF('Model inputs'!AE105="","",'Model inputs'!AE105))="",0,IF(EXACT("Team","Team"),IF('Model inputs'!AE113="","",'Model inputs'!AE113),IF('Model inputs'!AE105="","",'Model inputs'!AE105)))*'Model inputs'!B8</f>
        <v>5700</v>
      </c>
      <c r="AF116" s="9">
        <f>IF(IF(EXACT("Team","Team"),IF('Model inputs'!AF113="","",'Model inputs'!AF113),IF('Model inputs'!AF105="","",'Model inputs'!AF105))="",0,IF(EXACT("Team","Team"),IF('Model inputs'!AF113="","",'Model inputs'!AF113),IF('Model inputs'!AF105="","",'Model inputs'!AF105)))*'Model inputs'!B8</f>
        <v>6000</v>
      </c>
      <c r="AG116" s="9">
        <f>IF(IF(EXACT("Team","Team"),IF('Model inputs'!AG113="","",'Model inputs'!AG113),IF('Model inputs'!AG105="","",'Model inputs'!AG105))="",0,IF(EXACT("Team","Team"),IF('Model inputs'!AG113="","",'Model inputs'!AG113),IF('Model inputs'!AG105="","",'Model inputs'!AG105)))*'Model inputs'!B8</f>
        <v>6300</v>
      </c>
      <c r="AH116" s="9">
        <f>IF(IF(EXACT("Team","Team"),IF('Model inputs'!AH113="","",'Model inputs'!AH113),IF('Model inputs'!AH105="","",'Model inputs'!AH105))="",0,IF(EXACT("Team","Team"),IF('Model inputs'!AH113="","",'Model inputs'!AH113),IF('Model inputs'!AH105="","",'Model inputs'!AH105)))*'Model inputs'!B8</f>
        <v>6600</v>
      </c>
      <c r="AI116" s="9">
        <f>IF(IF(EXACT("Team","Team"),IF('Model inputs'!AI113="","",'Model inputs'!AI113),IF('Model inputs'!AI105="","",'Model inputs'!AI105))="",0,IF(EXACT("Team","Team"),IF('Model inputs'!AI113="","",'Model inputs'!AI113),IF('Model inputs'!AI105="","",'Model inputs'!AI105)))*'Model inputs'!B8</f>
        <v>6900</v>
      </c>
      <c r="AJ116" s="9">
        <f>IF(IF(EXACT("Team","Team"),IF('Model inputs'!AJ113="","",'Model inputs'!AJ113),IF('Model inputs'!AJ105="","",'Model inputs'!AJ105))="",0,IF(EXACT("Team","Team"),IF('Model inputs'!AJ113="","",'Model inputs'!AJ113),IF('Model inputs'!AJ105="","",'Model inputs'!AJ105)))*'Model inputs'!B8</f>
        <v>7200</v>
      </c>
    </row>
    <row r="117">
      <c r="A117" t="inlineStr" s="21">
        <is>
          <t xml:space="preserve">Monthly net new teams · Monthly forecast and cash</t>
        </is>
      </c>
      <c r="D117" s="9">
        <v>0</v>
      </c>
      <c r="E117" s="9">
        <v>0</v>
      </c>
      <c r="F117" s="9">
        <v>0</v>
      </c>
      <c r="G117" s="9">
        <v>0</v>
      </c>
      <c r="H117" s="9">
        <v>0</v>
      </c>
      <c r="I117" s="9">
        <v>0</v>
      </c>
      <c r="J117" s="9">
        <v>0</v>
      </c>
      <c r="K117" s="9">
        <v>0</v>
      </c>
      <c r="L117" s="9">
        <v>0</v>
      </c>
      <c r="M117" s="9">
        <f>IF('Model inputs'!B60="","",'Model inputs'!B60)</f>
        <v>5</v>
      </c>
      <c r="N117" s="9">
        <f>IF('Model inputs'!M117="","",'Model inputs'!M117)</f>
        <v>5</v>
      </c>
      <c r="O117" s="9">
        <f>IF('Model inputs'!N117="","",'Model inputs'!N117)</f>
        <v>5</v>
      </c>
      <c r="P117" s="9">
        <f>IF('Model inputs'!O117="","",'Model inputs'!O117)</f>
        <v>5</v>
      </c>
      <c r="Q117" s="9">
        <f>IF('Model inputs'!P117="","",'Model inputs'!P117)</f>
        <v>5</v>
      </c>
      <c r="R117" s="9">
        <f>IF('Model inputs'!Q117="","",'Model inputs'!Q117)</f>
        <v>5</v>
      </c>
      <c r="S117" s="9">
        <f>IF('Model inputs'!R117="","",'Model inputs'!R117)</f>
        <v>5</v>
      </c>
      <c r="T117" s="9">
        <f>IF('Model inputs'!S117="","",'Model inputs'!S117)</f>
        <v>5</v>
      </c>
      <c r="U117" s="9">
        <f>IF('Model inputs'!T117="","",'Model inputs'!T117)</f>
        <v>5</v>
      </c>
      <c r="V117" s="9">
        <f>IF('Model inputs'!U117="","",'Model inputs'!U117)</f>
        <v>5</v>
      </c>
      <c r="W117" s="9">
        <f>IF('Model inputs'!V117="","",'Model inputs'!V117)</f>
        <v>5</v>
      </c>
      <c r="X117" s="9">
        <f>IF('Model inputs'!W117="","",'Model inputs'!W117)</f>
        <v>5</v>
      </c>
      <c r="Y117" s="9">
        <f>IF('Model inputs'!X117="","",'Model inputs'!X117)</f>
        <v>5</v>
      </c>
      <c r="Z117" s="9">
        <f>IF('Model inputs'!Y117="","",'Model inputs'!Y117)</f>
        <v>5</v>
      </c>
      <c r="AA117" s="9">
        <f>IF('Model inputs'!Z117="","",'Model inputs'!Z117)</f>
        <v>5</v>
      </c>
      <c r="AB117" s="9">
        <f>IF('Model inputs'!AA117="","",'Model inputs'!AA117)</f>
        <v>5</v>
      </c>
      <c r="AC117" s="9">
        <f>IF('Model inputs'!AB117="","",'Model inputs'!AB117)</f>
        <v>5</v>
      </c>
      <c r="AD117" s="9">
        <f>IF('Model inputs'!AC117="","",'Model inputs'!AC117)</f>
        <v>5</v>
      </c>
      <c r="AE117" s="9">
        <f>IF('Model inputs'!AD117="","",'Model inputs'!AD117)</f>
        <v>5</v>
      </c>
      <c r="AF117" s="9">
        <f>IF('Model inputs'!AE117="","",'Model inputs'!AE117)</f>
        <v>5</v>
      </c>
      <c r="AG117" s="9">
        <f>IF('Model inputs'!AF117="","",'Model inputs'!AF117)</f>
        <v>5</v>
      </c>
      <c r="AH117" s="9">
        <f>IF('Model inputs'!AG117="","",'Model inputs'!AG117)</f>
        <v>5</v>
      </c>
      <c r="AI117" s="9">
        <f>IF('Model inputs'!AH117="","",'Model inputs'!AH117)</f>
        <v>5</v>
      </c>
      <c r="AJ117" s="9">
        <f>IF('Model inputs'!AI117="","",'Model inputs'!AI117)</f>
        <v>5</v>
      </c>
    </row>
    <row r="118">
      <c r="A118" t="inlineStr" s="21">
        <is>
          <t xml:space="preserve">Cost of revenue · AgentBisect — 100 teams at month 12</t>
        </is>
      </c>
      <c r="L118" s="10">
        <v>0</v>
      </c>
      <c r="M118" s="10">
        <f>'Model inputs'!M214+'Model inputs'!M196+'Model inputs'!M202</f>
        <v>594</v>
      </c>
      <c r="N118" s="10">
        <f>'Model inputs'!N214+'Model inputs'!N196+'Model inputs'!N202</f>
        <v>756</v>
      </c>
      <c r="O118" s="10">
        <f>'Model inputs'!O214+'Model inputs'!O196+'Model inputs'!O202</f>
        <v>900</v>
      </c>
      <c r="P118" s="10">
        <f>'Model inputs'!P214+'Model inputs'!P196+'Model inputs'!P202</f>
        <v>1044</v>
      </c>
      <c r="Q118" s="10">
        <f>'Model inputs'!Q214+'Model inputs'!Q196+'Model inputs'!Q202</f>
        <v>1206</v>
      </c>
      <c r="R118" s="10">
        <f>'Model inputs'!R214+'Model inputs'!R196+'Model inputs'!R202</f>
        <v>1350</v>
      </c>
      <c r="S118" s="10">
        <f>'Model inputs'!S214+'Model inputs'!S196+'Model inputs'!S202</f>
        <v>1494</v>
      </c>
      <c r="T118" s="10">
        <f>'Model inputs'!T214+'Model inputs'!T196+'Model inputs'!T202</f>
        <v>1656</v>
      </c>
      <c r="U118" s="10">
        <f>'Model inputs'!U214+'Model inputs'!U196+'Model inputs'!U202</f>
        <v>1800</v>
      </c>
      <c r="V118" s="10">
        <f>'Model inputs'!V214+'Model inputs'!V196+'Model inputs'!V202</f>
        <v>1944</v>
      </c>
      <c r="W118" s="10">
        <f>'Model inputs'!W214+'Model inputs'!W196+'Model inputs'!W202</f>
        <v>2106</v>
      </c>
      <c r="X118" s="10">
        <f>'Model inputs'!X214+'Model inputs'!X196+'Model inputs'!X202</f>
        <v>2250</v>
      </c>
    </row>
    <row r="119">
      <c r="A119" t="inlineStr" s="21">
        <is>
          <t xml:space="preserve">Cost of revenue · AgentBisect — 20 teams at month 12</t>
        </is>
      </c>
      <c r="L119" s="10">
        <v>0</v>
      </c>
      <c r="M119" s="10">
        <f>'Model inputs'!M215+'Model inputs'!M197+'Model inputs'!M203</f>
        <v>486</v>
      </c>
      <c r="N119" s="10">
        <f>'Model inputs'!N215+'Model inputs'!N197+'Model inputs'!N203</f>
        <v>504</v>
      </c>
      <c r="O119" s="10">
        <f>'Model inputs'!O215+'Model inputs'!O197+'Model inputs'!O203</f>
        <v>540</v>
      </c>
      <c r="P119" s="10">
        <f>'Model inputs'!P215+'Model inputs'!P197+'Model inputs'!P203</f>
        <v>576</v>
      </c>
      <c r="Q119" s="10">
        <f>'Model inputs'!Q215+'Model inputs'!Q197+'Model inputs'!Q203</f>
        <v>594</v>
      </c>
      <c r="R119" s="10">
        <f>'Model inputs'!R215+'Model inputs'!R197+'Model inputs'!R203</f>
        <v>630</v>
      </c>
      <c r="S119" s="10">
        <f>'Model inputs'!S215+'Model inputs'!S197+'Model inputs'!S203</f>
        <v>666</v>
      </c>
      <c r="T119" s="10">
        <f>'Model inputs'!T215+'Model inputs'!T197+'Model inputs'!T203</f>
        <v>684</v>
      </c>
      <c r="U119" s="10">
        <f>'Model inputs'!U215+'Model inputs'!U197+'Model inputs'!U203</f>
        <v>720</v>
      </c>
      <c r="V119" s="10">
        <f>'Model inputs'!V215+'Model inputs'!V197+'Model inputs'!V203</f>
        <v>756</v>
      </c>
      <c r="W119" s="10">
        <f>'Model inputs'!W215+'Model inputs'!W197+'Model inputs'!W203</f>
        <v>774</v>
      </c>
      <c r="X119" s="10">
        <f>'Model inputs'!X215+'Model inputs'!X197+'Model inputs'!X203</f>
        <v>810</v>
      </c>
    </row>
    <row r="120">
      <c r="A120" t="inlineStr" s="21">
        <is>
          <t xml:space="preserve">Cost of revenue · AgentBisect — 300 teams at month 12</t>
        </is>
      </c>
      <c r="L120" s="10">
        <v>0</v>
      </c>
      <c r="M120" s="10">
        <f>'Model inputs'!M216+'Model inputs'!M198+'Model inputs'!M204</f>
        <v>900</v>
      </c>
      <c r="N120" s="10">
        <f>'Model inputs'!N216+'Model inputs'!N198+'Model inputs'!N204</f>
        <v>1350</v>
      </c>
      <c r="O120" s="10">
        <f>'Model inputs'!O216+'Model inputs'!O198+'Model inputs'!O204</f>
        <v>1800</v>
      </c>
      <c r="P120" s="10">
        <f>'Model inputs'!P216+'Model inputs'!P198+'Model inputs'!P204</f>
        <v>2250</v>
      </c>
      <c r="Q120" s="10">
        <f>'Model inputs'!Q216+'Model inputs'!Q198+'Model inputs'!Q204</f>
        <v>2700</v>
      </c>
      <c r="R120" s="10">
        <f>'Model inputs'!R216+'Model inputs'!R198+'Model inputs'!R204</f>
        <v>3150</v>
      </c>
      <c r="S120" s="10">
        <f>'Model inputs'!S216+'Model inputs'!S198+'Model inputs'!S204</f>
        <v>3600</v>
      </c>
      <c r="T120" s="10">
        <f>'Model inputs'!T216+'Model inputs'!T198+'Model inputs'!T204</f>
        <v>4050</v>
      </c>
      <c r="U120" s="10">
        <f>'Model inputs'!U216+'Model inputs'!U198+'Model inputs'!U204</f>
        <v>4500</v>
      </c>
      <c r="V120" s="10">
        <f>'Model inputs'!V216+'Model inputs'!V198+'Model inputs'!V204</f>
        <v>4950</v>
      </c>
      <c r="W120" s="10">
        <f>'Model inputs'!W216+'Model inputs'!W198+'Model inputs'!W204</f>
        <v>5400</v>
      </c>
      <c r="X120" s="10">
        <f>'Model inputs'!X216+'Model inputs'!X198+'Model inputs'!X204</f>
        <v>5850</v>
      </c>
    </row>
    <row r="121">
      <c r="A121" t="inlineStr" s="21">
        <is>
          <t xml:space="preserve">Forecast start · Forecast month number · AgentBisect — 100 teams at month 12 · AgentBisect — 100 teams at month 12</t>
        </is>
      </c>
      <c r="C121" s="11">
        <f>DATE(2026,10,1)</f>
        <v>46296</v>
      </c>
    </row>
    <row r="122">
      <c r="A122" t="inlineStr" s="21">
        <is>
          <t xml:space="preserve">Forecast start · Forecast month number · AgentBisect — 20 teams at month 12 · AgentBisect — 20 teams at month 12</t>
        </is>
      </c>
      <c r="C122" s="11">
        <f>DATE(2026,10,1)</f>
        <v>46296</v>
      </c>
    </row>
    <row r="123">
      <c r="A123" t="inlineStr" s="21">
        <is>
          <t xml:space="preserve">Forecast start · Forecast month number · AgentBisect — 300 teams at month 12 · AgentBisect — 300 teams at month 12</t>
        </is>
      </c>
      <c r="C123" s="11">
        <f>DATE(2026,10,1)</f>
        <v>46296</v>
      </c>
    </row>
    <row r="124">
      <c r="A124" t="inlineStr" s="21">
        <is>
          <t xml:space="preserve">Founder monthly salary · Founder pay · AgentBisect — 100 teams at month 12 · AgentBisect — 100 teams at month 12</t>
        </is>
      </c>
      <c r="C124" s="10">
        <f>'Editable assumptions'!B9</f>
        <v>8000</v>
      </c>
    </row>
    <row r="125">
      <c r="A125" t="inlineStr" s="21">
        <is>
          <t xml:space="preserve">Founder monthly salary · Founder pay · AgentBisect — 20 teams at month 12 · AgentBisect — 20 teams at month 12</t>
        </is>
      </c>
      <c r="C125" s="10">
        <f>'Editable assumptions'!B9</f>
        <v>8000</v>
      </c>
    </row>
    <row r="126">
      <c r="A126" t="inlineStr" s="21">
        <is>
          <t xml:space="preserve">Founder monthly salary · Founder pay · AgentBisect — 300 teams at month 12 · AgentBisect — 300 teams at month 12</t>
        </is>
      </c>
      <c r="C126" s="10">
        <f>'Editable assumptions'!B9</f>
        <v>8000</v>
      </c>
    </row>
    <row r="127">
      <c r="A127" t="inlineStr" s="21">
        <is>
          <t xml:space="preserve">Founder pay</t>
        </is>
      </c>
      <c r="D127" s="13">
        <f>SUM('Model inputs'!D128)</f>
        <v>0</v>
      </c>
      <c r="E127" s="13">
        <f>SUM('Model inputs'!E128)</f>
        <v>0</v>
      </c>
      <c r="F127" s="13">
        <f>SUM('Model inputs'!F128)</f>
        <v>0</v>
      </c>
      <c r="G127" s="13">
        <f>SUM('Model inputs'!G128)</f>
        <v>0</v>
      </c>
      <c r="H127" s="13">
        <f>SUM('Model inputs'!H128)</f>
        <v>0</v>
      </c>
      <c r="I127" s="13">
        <f>SUM('Model inputs'!I128)</f>
        <v>0</v>
      </c>
      <c r="J127" s="13">
        <f>SUM('Model inputs'!J128)</f>
        <v>0</v>
      </c>
      <c r="K127" s="13">
        <f>SUM('Model inputs'!K128)</f>
        <v>0</v>
      </c>
      <c r="L127" s="13">
        <f>IF('Model inputs'!L36="","",'Model inputs'!L36)</f>
        <v>0</v>
      </c>
      <c r="M127" s="13">
        <f>IF('Model inputs'!M36="","",'Model inputs'!M36)</f>
        <v>0</v>
      </c>
      <c r="N127" s="13">
        <f>IF('Model inputs'!N36="","",'Model inputs'!N36)</f>
        <v>0</v>
      </c>
      <c r="O127" s="13">
        <f>IF('Model inputs'!O36="","",'Model inputs'!O36)</f>
        <v>0</v>
      </c>
      <c r="P127" s="13">
        <f>IF('Model inputs'!P36="","",'Model inputs'!P36)</f>
        <v>0</v>
      </c>
      <c r="Q127" s="13">
        <f>IF('Model inputs'!Q36="","",'Model inputs'!Q36)</f>
        <v>0</v>
      </c>
      <c r="R127" s="13">
        <f>IF('Model inputs'!R36="","",'Model inputs'!R36)</f>
        <v>0</v>
      </c>
      <c r="S127" s="13">
        <f>IF('Model inputs'!S36="","",'Model inputs'!S36)</f>
        <v>8000</v>
      </c>
      <c r="T127" s="13">
        <f>IF('Model inputs'!T36="","",'Model inputs'!T36)</f>
        <v>8000</v>
      </c>
      <c r="U127" s="13">
        <f>IF('Model inputs'!U36="","",'Model inputs'!U36)</f>
        <v>8000</v>
      </c>
      <c r="V127" s="13">
        <f>IF('Model inputs'!V36="","",'Model inputs'!V36)</f>
        <v>8000</v>
      </c>
      <c r="W127" s="13">
        <f>IF('Model inputs'!W36="","",'Model inputs'!W36)</f>
        <v>8000</v>
      </c>
      <c r="X127" s="13">
        <f>IF('Model inputs'!X36="","",'Model inputs'!X36)</f>
        <v>8000</v>
      </c>
      <c r="Y127" s="13">
        <f>IF('Model inputs'!Y36="","",'Model inputs'!Y36)</f>
        <v>8000</v>
      </c>
      <c r="Z127" s="13">
        <f>IF('Model inputs'!Z36="","",'Model inputs'!Z36)</f>
        <v>8000</v>
      </c>
      <c r="AA127" s="13">
        <f>IF('Model inputs'!AA36="","",'Model inputs'!AA36)</f>
        <v>8000</v>
      </c>
      <c r="AB127" s="13">
        <f>IF('Model inputs'!AB36="","",'Model inputs'!AB36)</f>
        <v>8000</v>
      </c>
      <c r="AC127" s="13">
        <f>IF('Model inputs'!AC36="","",'Model inputs'!AC36)</f>
        <v>8000</v>
      </c>
      <c r="AD127" s="13">
        <f>IF('Model inputs'!AD36="","",'Model inputs'!AD36)</f>
        <v>8000</v>
      </c>
      <c r="AE127" s="13">
        <f>IF('Model inputs'!AE36="","",'Model inputs'!AE36)</f>
        <v>8000</v>
      </c>
      <c r="AF127" s="13">
        <f>IF('Model inputs'!AF36="","",'Model inputs'!AF36)</f>
        <v>8000</v>
      </c>
      <c r="AG127" s="13">
        <f>IF('Model inputs'!AG36="","",'Model inputs'!AG36)</f>
        <v>8000</v>
      </c>
      <c r="AH127" s="13">
        <f>IF('Model inputs'!AH36="","",'Model inputs'!AH36)</f>
        <v>8000</v>
      </c>
      <c r="AI127" s="13">
        <f>IF('Model inputs'!AI36="","",'Model inputs'!AI36)</f>
        <v>8000</v>
      </c>
      <c r="AJ127" s="13">
        <f>IF('Model inputs'!AJ36="","",'Model inputs'!AJ36)</f>
        <v>8000</v>
      </c>
    </row>
    <row r="128" outlineLevel="1">
      <c r="A128" t="inlineStr" s="22">
        <is>
          <t xml:space="preserve">Founder pay &gt; Founder — sole operator</t>
        </is>
      </c>
      <c r="D128" s="10">
        <f>0</f>
        <v>0</v>
      </c>
      <c r="E128" s="10">
        <f>0</f>
        <v>0</v>
      </c>
      <c r="F128" s="10">
        <f>0</f>
        <v>0</v>
      </c>
      <c r="G128" s="10">
        <f>0</f>
        <v>0</v>
      </c>
      <c r="H128" s="10">
        <f>0</f>
        <v>0</v>
      </c>
      <c r="I128" s="10">
        <f>0</f>
        <v>0</v>
      </c>
      <c r="J128" s="10">
        <f>0</f>
        <v>0</v>
      </c>
      <c r="K128" s="10">
        <f>0</f>
        <v>0</v>
      </c>
      <c r="L128" s="10">
        <f>IF('Model inputs'!L37="","",'Model inputs'!L37)</f>
        <v>0</v>
      </c>
      <c r="M128" s="10">
        <f>IF('Model inputs'!M37="","",'Model inputs'!M37)</f>
        <v>0</v>
      </c>
      <c r="N128" s="10">
        <f>IF('Model inputs'!N37="","",'Model inputs'!N37)</f>
        <v>0</v>
      </c>
      <c r="O128" s="10">
        <f>IF('Model inputs'!O37="","",'Model inputs'!O37)</f>
        <v>0</v>
      </c>
      <c r="P128" s="10">
        <f>IF('Model inputs'!P37="","",'Model inputs'!P37)</f>
        <v>0</v>
      </c>
      <c r="Q128" s="10">
        <f>IF('Model inputs'!Q37="","",'Model inputs'!Q37)</f>
        <v>0</v>
      </c>
      <c r="R128" s="10">
        <f>IF('Model inputs'!R37="","",'Model inputs'!R37)</f>
        <v>0</v>
      </c>
      <c r="S128" s="10">
        <f>IF('Model inputs'!S37="","",'Model inputs'!S37)</f>
        <v>8000</v>
      </c>
      <c r="T128" s="10">
        <f>IF('Model inputs'!T37="","",'Model inputs'!T37)</f>
        <v>8000</v>
      </c>
      <c r="U128" s="10">
        <f>IF('Model inputs'!U37="","",'Model inputs'!U37)</f>
        <v>8000</v>
      </c>
      <c r="V128" s="10">
        <f>IF('Model inputs'!V37="","",'Model inputs'!V37)</f>
        <v>8000</v>
      </c>
      <c r="W128" s="10">
        <f>IF('Model inputs'!W37="","",'Model inputs'!W37)</f>
        <v>8000</v>
      </c>
      <c r="X128" s="10">
        <f>IF('Model inputs'!X37="","",'Model inputs'!X37)</f>
        <v>8000</v>
      </c>
      <c r="Y128" s="10">
        <f>IF('Model inputs'!Y37="","",'Model inputs'!Y37)</f>
        <v>8000</v>
      </c>
      <c r="Z128" s="10">
        <f>IF('Model inputs'!Z37="","",'Model inputs'!Z37)</f>
        <v>8000</v>
      </c>
      <c r="AA128" s="10">
        <f>IF('Model inputs'!AA37="","",'Model inputs'!AA37)</f>
        <v>8000</v>
      </c>
      <c r="AB128" s="10">
        <f>IF('Model inputs'!AB37="","",'Model inputs'!AB37)</f>
        <v>8000</v>
      </c>
      <c r="AC128" s="10">
        <f>IF('Model inputs'!AC37="","",'Model inputs'!AC37)</f>
        <v>8000</v>
      </c>
      <c r="AD128" s="10">
        <f>IF('Model inputs'!AD37="","",'Model inputs'!AD37)</f>
        <v>8000</v>
      </c>
      <c r="AE128" s="10">
        <f>IF('Model inputs'!AE37="","",'Model inputs'!AE37)</f>
        <v>8000</v>
      </c>
      <c r="AF128" s="10">
        <f>IF('Model inputs'!AF37="","",'Model inputs'!AF37)</f>
        <v>8000</v>
      </c>
      <c r="AG128" s="10">
        <f>IF('Model inputs'!AG37="","",'Model inputs'!AG37)</f>
        <v>8000</v>
      </c>
      <c r="AH128" s="10">
        <f>IF('Model inputs'!AH37="","",'Model inputs'!AH37)</f>
        <v>8000</v>
      </c>
      <c r="AI128" s="10">
        <f>IF('Model inputs'!AI37="","",'Model inputs'!AI37)</f>
        <v>8000</v>
      </c>
      <c r="AJ128" s="10">
        <f>IF('Model inputs'!AJ37="","",'Model inputs'!AJ37)</f>
        <v>8000</v>
      </c>
    </row>
    <row r="129">
      <c r="A129" t="inlineStr" s="21">
        <is>
          <t xml:space="preserve">Founder pay</t>
        </is>
      </c>
      <c r="L129" s="13">
        <f>SUM('Model inputs'!L130)</f>
        <v>0</v>
      </c>
      <c r="M129" s="13">
        <f>SUM('Model inputs'!M130)</f>
        <v>0</v>
      </c>
      <c r="N129" s="13">
        <f>SUM('Model inputs'!N130)</f>
        <v>0</v>
      </c>
      <c r="O129" s="13">
        <f>SUM('Model inputs'!O130)</f>
        <v>0</v>
      </c>
      <c r="P129" s="13">
        <f>SUM('Model inputs'!P130)</f>
        <v>0</v>
      </c>
      <c r="Q129" s="13">
        <f>SUM('Model inputs'!Q130)</f>
        <v>0</v>
      </c>
      <c r="R129" s="13">
        <f>SUM('Model inputs'!R130)</f>
        <v>0</v>
      </c>
      <c r="S129" s="13">
        <f>SUM('Model inputs'!S130)</f>
        <v>8000</v>
      </c>
      <c r="T129" s="13">
        <f>SUM('Model inputs'!T130)</f>
        <v>8000</v>
      </c>
      <c r="U129" s="13">
        <f>SUM('Model inputs'!U130)</f>
        <v>8000</v>
      </c>
      <c r="V129" s="13">
        <f>SUM('Model inputs'!V130)</f>
        <v>8000</v>
      </c>
      <c r="W129" s="13">
        <f>SUM('Model inputs'!W130)</f>
        <v>8000</v>
      </c>
      <c r="X129" s="13">
        <f>IF('Model inputs'!X38="","",'Model inputs'!X38)</f>
        <v>8000</v>
      </c>
    </row>
    <row r="130" outlineLevel="1">
      <c r="A130" t="inlineStr" s="22">
        <is>
          <t xml:space="preserve">Founder pay &gt; Founder — sole operator</t>
        </is>
      </c>
      <c r="L130" s="10">
        <f>'Monthly forecast and cash'!B26</f>
        <v>0</v>
      </c>
      <c r="M130" s="10">
        <f>IF(IF(IF(ISERROR('Model inputs'!M29&lt;='Model inputs'!C165),'Model inputs'!M29&lt;='Model inputs'!C165,IF(OR('Model inputs'!M29="",'Model inputs'!C165=""),"",'Model inputs'!M29&lt;='Model inputs'!C165))="",FALSE,IF(ISERROR('Model inputs'!M29&lt;='Model inputs'!C165),'Model inputs'!M29&lt;='Model inputs'!C165,IF(OR('Model inputs'!M29="",'Model inputs'!C165=""),"",'Model inputs'!M29&lt;='Model inputs'!C165))),0,IF('Model inputs'!C124="","",'Model inputs'!C124))</f>
        <v>0</v>
      </c>
      <c r="N130" s="10">
        <f>IF(IF(IF(ISERROR('Model inputs'!N29&lt;='Model inputs'!C165),'Model inputs'!N29&lt;='Model inputs'!C165,IF(OR('Model inputs'!N29="",'Model inputs'!C165=""),"",'Model inputs'!N29&lt;='Model inputs'!C165))="",FALSE,IF(ISERROR('Model inputs'!N29&lt;='Model inputs'!C165),'Model inputs'!N29&lt;='Model inputs'!C165,IF(OR('Model inputs'!N29="",'Model inputs'!C165=""),"",'Model inputs'!N29&lt;='Model inputs'!C165))),0,IF('Model inputs'!C124="","",'Model inputs'!C124))</f>
        <v>0</v>
      </c>
      <c r="O130" s="10">
        <f>IF(IF(IF(ISERROR('Model inputs'!O29&lt;='Model inputs'!C165),'Model inputs'!O29&lt;='Model inputs'!C165,IF(OR('Model inputs'!O29="",'Model inputs'!C165=""),"",'Model inputs'!O29&lt;='Model inputs'!C165))="",FALSE,IF(ISERROR('Model inputs'!O29&lt;='Model inputs'!C165),'Model inputs'!O29&lt;='Model inputs'!C165,IF(OR('Model inputs'!O29="",'Model inputs'!C165=""),"",'Model inputs'!O29&lt;='Model inputs'!C165))),0,IF('Model inputs'!C124="","",'Model inputs'!C124))</f>
        <v>0</v>
      </c>
      <c r="P130" s="10">
        <f>IF(IF(IF(ISERROR('Model inputs'!P29&lt;='Model inputs'!C165),'Model inputs'!P29&lt;='Model inputs'!C165,IF(OR('Model inputs'!P29="",'Model inputs'!C165=""),"",'Model inputs'!P29&lt;='Model inputs'!C165))="",FALSE,IF(ISERROR('Model inputs'!P29&lt;='Model inputs'!C165),'Model inputs'!P29&lt;='Model inputs'!C165,IF(OR('Model inputs'!P29="",'Model inputs'!C165=""),"",'Model inputs'!P29&lt;='Model inputs'!C165))),0,IF('Model inputs'!C124="","",'Model inputs'!C124))</f>
        <v>0</v>
      </c>
      <c r="Q130" s="10">
        <f>IF(IF(IF(ISERROR('Model inputs'!Q29&lt;='Model inputs'!C165),'Model inputs'!Q29&lt;='Model inputs'!C165,IF(OR('Model inputs'!Q29="",'Model inputs'!C165=""),"",'Model inputs'!Q29&lt;='Model inputs'!C165))="",FALSE,IF(ISERROR('Model inputs'!Q29&lt;='Model inputs'!C165),'Model inputs'!Q29&lt;='Model inputs'!C165,IF(OR('Model inputs'!Q29="",'Model inputs'!C165=""),"",'Model inputs'!Q29&lt;='Model inputs'!C165))),0,IF('Model inputs'!C124="","",'Model inputs'!C124))</f>
        <v>0</v>
      </c>
      <c r="R130" s="10">
        <f>IF(IF(IF(ISERROR('Model inputs'!R29&lt;='Model inputs'!C165),'Model inputs'!R29&lt;='Model inputs'!C165,IF(OR('Model inputs'!R29="",'Model inputs'!C165=""),"",'Model inputs'!R29&lt;='Model inputs'!C165))="",FALSE,IF(ISERROR('Model inputs'!R29&lt;='Model inputs'!C165),'Model inputs'!R29&lt;='Model inputs'!C165,IF(OR('Model inputs'!R29="",'Model inputs'!C165=""),"",'Model inputs'!R29&lt;='Model inputs'!C165))),0,IF('Model inputs'!C124="","",'Model inputs'!C124))</f>
        <v>0</v>
      </c>
      <c r="S130" s="10">
        <f>IF(IF(IF(ISERROR('Model inputs'!S29&lt;='Model inputs'!C165),'Model inputs'!S29&lt;='Model inputs'!C165,IF(OR('Model inputs'!S29="",'Model inputs'!C165=""),"",'Model inputs'!S29&lt;='Model inputs'!C165))="",FALSE,IF(ISERROR('Model inputs'!S29&lt;='Model inputs'!C165),'Model inputs'!S29&lt;='Model inputs'!C165,IF(OR('Model inputs'!S29="",'Model inputs'!C165=""),"",'Model inputs'!S29&lt;='Model inputs'!C165))),0,IF('Model inputs'!C124="","",'Model inputs'!C124))</f>
        <v>8000</v>
      </c>
      <c r="T130" s="10">
        <f>IF(IF(IF(ISERROR('Model inputs'!T29&lt;='Model inputs'!C165),'Model inputs'!T29&lt;='Model inputs'!C165,IF(OR('Model inputs'!T29="",'Model inputs'!C165=""),"",'Model inputs'!T29&lt;='Model inputs'!C165))="",FALSE,IF(ISERROR('Model inputs'!T29&lt;='Model inputs'!C165),'Model inputs'!T29&lt;='Model inputs'!C165,IF(OR('Model inputs'!T29="",'Model inputs'!C165=""),"",'Model inputs'!T29&lt;='Model inputs'!C165))),0,IF('Model inputs'!C124="","",'Model inputs'!C124))</f>
        <v>8000</v>
      </c>
      <c r="U130" s="10">
        <f>IF(IF(IF(ISERROR('Model inputs'!U29&lt;='Model inputs'!C165),'Model inputs'!U29&lt;='Model inputs'!C165,IF(OR('Model inputs'!U29="",'Model inputs'!C165=""),"",'Model inputs'!U29&lt;='Model inputs'!C165))="",FALSE,IF(ISERROR('Model inputs'!U29&lt;='Model inputs'!C165),'Model inputs'!U29&lt;='Model inputs'!C165,IF(OR('Model inputs'!U29="",'Model inputs'!C165=""),"",'Model inputs'!U29&lt;='Model inputs'!C165))),0,IF('Model inputs'!C124="","",'Model inputs'!C124))</f>
        <v>8000</v>
      </c>
      <c r="V130" s="10">
        <f>IF(IF(IF(ISERROR('Model inputs'!V29&lt;='Model inputs'!C165),'Model inputs'!V29&lt;='Model inputs'!C165,IF(OR('Model inputs'!V29="",'Model inputs'!C165=""),"",'Model inputs'!V29&lt;='Model inputs'!C165))="",FALSE,IF(ISERROR('Model inputs'!V29&lt;='Model inputs'!C165),'Model inputs'!V29&lt;='Model inputs'!C165,IF(OR('Model inputs'!V29="",'Model inputs'!C165=""),"",'Model inputs'!V29&lt;='Model inputs'!C165))),0,IF('Model inputs'!C124="","",'Model inputs'!C124))</f>
        <v>8000</v>
      </c>
      <c r="W130" s="10">
        <f>IF(IF(IF(ISERROR('Model inputs'!W29&lt;='Model inputs'!C165),'Model inputs'!W29&lt;='Model inputs'!C165,IF(OR('Model inputs'!W29="",'Model inputs'!C165=""),"",'Model inputs'!W29&lt;='Model inputs'!C165))="",FALSE,IF(ISERROR('Model inputs'!W29&lt;='Model inputs'!C165),'Model inputs'!W29&lt;='Model inputs'!C165,IF(OR('Model inputs'!W29="",'Model inputs'!C165=""),"",'Model inputs'!W29&lt;='Model inputs'!C165))),0,IF('Model inputs'!C124="","",'Model inputs'!C124))</f>
        <v>8000</v>
      </c>
      <c r="X130" s="10">
        <f>IF('Model inputs'!X39="","",'Model inputs'!X39)</f>
        <v>8000</v>
      </c>
    </row>
    <row r="131">
      <c r="A131" t="inlineStr" s="21">
        <is>
          <t xml:space="preserve">Founder pay</t>
        </is>
      </c>
      <c r="L131" s="13">
        <f>SUM('Model inputs'!L132)</f>
        <v>0</v>
      </c>
      <c r="M131" s="13">
        <f>SUM('Model inputs'!M132)</f>
        <v>0</v>
      </c>
      <c r="N131" s="13">
        <f>SUM('Model inputs'!N132)</f>
        <v>0</v>
      </c>
      <c r="O131" s="13">
        <f>SUM('Model inputs'!O132)</f>
        <v>0</v>
      </c>
      <c r="P131" s="13">
        <f>SUM('Model inputs'!P132)</f>
        <v>0</v>
      </c>
      <c r="Q131" s="13">
        <f>SUM('Model inputs'!Q132)</f>
        <v>0</v>
      </c>
      <c r="R131" s="13">
        <f>SUM('Model inputs'!R132)</f>
        <v>0</v>
      </c>
      <c r="S131" s="13">
        <f>SUM('Model inputs'!S132)</f>
        <v>8000</v>
      </c>
      <c r="T131" s="13">
        <f>SUM('Model inputs'!T132)</f>
        <v>8000</v>
      </c>
      <c r="U131" s="13">
        <f>SUM('Model inputs'!U132)</f>
        <v>8000</v>
      </c>
      <c r="V131" s="13">
        <f>SUM('Model inputs'!V132)</f>
        <v>8000</v>
      </c>
      <c r="W131" s="13">
        <f>SUM('Model inputs'!W132)</f>
        <v>8000</v>
      </c>
      <c r="X131" s="13">
        <f>IF('Model inputs'!X40="","",'Model inputs'!X40)</f>
        <v>8000</v>
      </c>
    </row>
    <row r="132" outlineLevel="1">
      <c r="A132" t="inlineStr" s="22">
        <is>
          <t xml:space="preserve">Founder pay &gt; Founder — sole operator</t>
        </is>
      </c>
      <c r="L132" s="10">
        <f>'Monthly forecast and cash'!B26</f>
        <v>0</v>
      </c>
      <c r="M132" s="10">
        <f>IF(IF(IF(ISERROR('Model inputs'!M30&lt;='Model inputs'!C166),'Model inputs'!M30&lt;='Model inputs'!C166,IF(OR('Model inputs'!M30="",'Model inputs'!C166=""),"",'Model inputs'!M30&lt;='Model inputs'!C166))="",FALSE,IF(ISERROR('Model inputs'!M30&lt;='Model inputs'!C166),'Model inputs'!M30&lt;='Model inputs'!C166,IF(OR('Model inputs'!M30="",'Model inputs'!C166=""),"",'Model inputs'!M30&lt;='Model inputs'!C166))),0,IF('Model inputs'!C125="","",'Model inputs'!C125))</f>
        <v>0</v>
      </c>
      <c r="N132" s="10">
        <f>IF(IF(IF(ISERROR('Model inputs'!N30&lt;='Model inputs'!C166),'Model inputs'!N30&lt;='Model inputs'!C166,IF(OR('Model inputs'!N30="",'Model inputs'!C166=""),"",'Model inputs'!N30&lt;='Model inputs'!C166))="",FALSE,IF(ISERROR('Model inputs'!N30&lt;='Model inputs'!C166),'Model inputs'!N30&lt;='Model inputs'!C166,IF(OR('Model inputs'!N30="",'Model inputs'!C166=""),"",'Model inputs'!N30&lt;='Model inputs'!C166))),0,IF('Model inputs'!C125="","",'Model inputs'!C125))</f>
        <v>0</v>
      </c>
      <c r="O132" s="10">
        <f>IF(IF(IF(ISERROR('Model inputs'!O30&lt;='Model inputs'!C166),'Model inputs'!O30&lt;='Model inputs'!C166,IF(OR('Model inputs'!O30="",'Model inputs'!C166=""),"",'Model inputs'!O30&lt;='Model inputs'!C166))="",FALSE,IF(ISERROR('Model inputs'!O30&lt;='Model inputs'!C166),'Model inputs'!O30&lt;='Model inputs'!C166,IF(OR('Model inputs'!O30="",'Model inputs'!C166=""),"",'Model inputs'!O30&lt;='Model inputs'!C166))),0,IF('Model inputs'!C125="","",'Model inputs'!C125))</f>
        <v>0</v>
      </c>
      <c r="P132" s="10">
        <f>IF(IF(IF(ISERROR('Model inputs'!P30&lt;='Model inputs'!C166),'Model inputs'!P30&lt;='Model inputs'!C166,IF(OR('Model inputs'!P30="",'Model inputs'!C166=""),"",'Model inputs'!P30&lt;='Model inputs'!C166))="",FALSE,IF(ISERROR('Model inputs'!P30&lt;='Model inputs'!C166),'Model inputs'!P30&lt;='Model inputs'!C166,IF(OR('Model inputs'!P30="",'Model inputs'!C166=""),"",'Model inputs'!P30&lt;='Model inputs'!C166))),0,IF('Model inputs'!C125="","",'Model inputs'!C125))</f>
        <v>0</v>
      </c>
      <c r="Q132" s="10">
        <f>IF(IF(IF(ISERROR('Model inputs'!Q30&lt;='Model inputs'!C166),'Model inputs'!Q30&lt;='Model inputs'!C166,IF(OR('Model inputs'!Q30="",'Model inputs'!C166=""),"",'Model inputs'!Q30&lt;='Model inputs'!C166))="",FALSE,IF(ISERROR('Model inputs'!Q30&lt;='Model inputs'!C166),'Model inputs'!Q30&lt;='Model inputs'!C166,IF(OR('Model inputs'!Q30="",'Model inputs'!C166=""),"",'Model inputs'!Q30&lt;='Model inputs'!C166))),0,IF('Model inputs'!C125="","",'Model inputs'!C125))</f>
        <v>0</v>
      </c>
      <c r="R132" s="10">
        <f>IF(IF(IF(ISERROR('Model inputs'!R30&lt;='Model inputs'!C166),'Model inputs'!R30&lt;='Model inputs'!C166,IF(OR('Model inputs'!R30="",'Model inputs'!C166=""),"",'Model inputs'!R30&lt;='Model inputs'!C166))="",FALSE,IF(ISERROR('Model inputs'!R30&lt;='Model inputs'!C166),'Model inputs'!R30&lt;='Model inputs'!C166,IF(OR('Model inputs'!R30="",'Model inputs'!C166=""),"",'Model inputs'!R30&lt;='Model inputs'!C166))),0,IF('Model inputs'!C125="","",'Model inputs'!C125))</f>
        <v>0</v>
      </c>
      <c r="S132" s="10">
        <f>IF(IF(IF(ISERROR('Model inputs'!S30&lt;='Model inputs'!C166),'Model inputs'!S30&lt;='Model inputs'!C166,IF(OR('Model inputs'!S30="",'Model inputs'!C166=""),"",'Model inputs'!S30&lt;='Model inputs'!C166))="",FALSE,IF(ISERROR('Model inputs'!S30&lt;='Model inputs'!C166),'Model inputs'!S30&lt;='Model inputs'!C166,IF(OR('Model inputs'!S30="",'Model inputs'!C166=""),"",'Model inputs'!S30&lt;='Model inputs'!C166))),0,IF('Model inputs'!C125="","",'Model inputs'!C125))</f>
        <v>8000</v>
      </c>
      <c r="T132" s="10">
        <f>IF(IF(IF(ISERROR('Model inputs'!T30&lt;='Model inputs'!C166),'Model inputs'!T30&lt;='Model inputs'!C166,IF(OR('Model inputs'!T30="",'Model inputs'!C166=""),"",'Model inputs'!T30&lt;='Model inputs'!C166))="",FALSE,IF(ISERROR('Model inputs'!T30&lt;='Model inputs'!C166),'Model inputs'!T30&lt;='Model inputs'!C166,IF(OR('Model inputs'!T30="",'Model inputs'!C166=""),"",'Model inputs'!T30&lt;='Model inputs'!C166))),0,IF('Model inputs'!C125="","",'Model inputs'!C125))</f>
        <v>8000</v>
      </c>
      <c r="U132" s="10">
        <f>IF(IF(IF(ISERROR('Model inputs'!U30&lt;='Model inputs'!C166),'Model inputs'!U30&lt;='Model inputs'!C166,IF(OR('Model inputs'!U30="",'Model inputs'!C166=""),"",'Model inputs'!U30&lt;='Model inputs'!C166))="",FALSE,IF(ISERROR('Model inputs'!U30&lt;='Model inputs'!C166),'Model inputs'!U30&lt;='Model inputs'!C166,IF(OR('Model inputs'!U30="",'Model inputs'!C166=""),"",'Model inputs'!U30&lt;='Model inputs'!C166))),0,IF('Model inputs'!C125="","",'Model inputs'!C125))</f>
        <v>8000</v>
      </c>
      <c r="V132" s="10">
        <f>IF(IF(IF(ISERROR('Model inputs'!V30&lt;='Model inputs'!C166),'Model inputs'!V30&lt;='Model inputs'!C166,IF(OR('Model inputs'!V30="",'Model inputs'!C166=""),"",'Model inputs'!V30&lt;='Model inputs'!C166))="",FALSE,IF(ISERROR('Model inputs'!V30&lt;='Model inputs'!C166),'Model inputs'!V30&lt;='Model inputs'!C166,IF(OR('Model inputs'!V30="",'Model inputs'!C166=""),"",'Model inputs'!V30&lt;='Model inputs'!C166))),0,IF('Model inputs'!C125="","",'Model inputs'!C125))</f>
        <v>8000</v>
      </c>
      <c r="W132" s="10">
        <f>IF(IF(IF(ISERROR('Model inputs'!W30&lt;='Model inputs'!C166),'Model inputs'!W30&lt;='Model inputs'!C166,IF(OR('Model inputs'!W30="",'Model inputs'!C166=""),"",'Model inputs'!W30&lt;='Model inputs'!C166))="",FALSE,IF(ISERROR('Model inputs'!W30&lt;='Model inputs'!C166),'Model inputs'!W30&lt;='Model inputs'!C166,IF(OR('Model inputs'!W30="",'Model inputs'!C166=""),"",'Model inputs'!W30&lt;='Model inputs'!C166))),0,IF('Model inputs'!C125="","",'Model inputs'!C125))</f>
        <v>8000</v>
      </c>
      <c r="X132" s="10">
        <f>IF('Model inputs'!X41="","",'Model inputs'!X41)</f>
        <v>8000</v>
      </c>
    </row>
    <row r="133">
      <c r="A133" t="inlineStr" s="21">
        <is>
          <t xml:space="preserve">Founder pay</t>
        </is>
      </c>
      <c r="L133" s="13">
        <f>SUM('Model inputs'!L134)</f>
        <v>0</v>
      </c>
      <c r="M133" s="13">
        <f>SUM('Model inputs'!M134)</f>
        <v>0</v>
      </c>
      <c r="N133" s="13">
        <f>SUM('Model inputs'!N134)</f>
        <v>0</v>
      </c>
      <c r="O133" s="13">
        <f>SUM('Model inputs'!O134)</f>
        <v>0</v>
      </c>
      <c r="P133" s="13">
        <f>SUM('Model inputs'!P134)</f>
        <v>0</v>
      </c>
      <c r="Q133" s="13">
        <f>SUM('Model inputs'!Q134)</f>
        <v>0</v>
      </c>
      <c r="R133" s="13">
        <f>SUM('Model inputs'!R134)</f>
        <v>0</v>
      </c>
      <c r="S133" s="13">
        <f>SUM('Model inputs'!S134)</f>
        <v>8000</v>
      </c>
      <c r="T133" s="13">
        <f>SUM('Model inputs'!T134)</f>
        <v>8000</v>
      </c>
      <c r="U133" s="13">
        <f>SUM('Model inputs'!U134)</f>
        <v>8000</v>
      </c>
      <c r="V133" s="13">
        <f>SUM('Model inputs'!V134)</f>
        <v>8000</v>
      </c>
      <c r="W133" s="13">
        <f>SUM('Model inputs'!W134)</f>
        <v>8000</v>
      </c>
      <c r="X133" s="13">
        <f>IF('Model inputs'!X42="","",'Model inputs'!X42)</f>
        <v>8000</v>
      </c>
    </row>
    <row r="134" outlineLevel="1">
      <c r="A134" t="inlineStr" s="22">
        <is>
          <t xml:space="preserve">Founder pay &gt; Founder — sole operator</t>
        </is>
      </c>
      <c r="L134" s="10">
        <f>'Monthly forecast and cash'!B26</f>
        <v>0</v>
      </c>
      <c r="M134" s="10">
        <f>IF(IF(IF(ISERROR('Model inputs'!M31&lt;='Model inputs'!C167),'Model inputs'!M31&lt;='Model inputs'!C167,IF(OR('Model inputs'!M31="",'Model inputs'!C167=""),"",'Model inputs'!M31&lt;='Model inputs'!C167))="",FALSE,IF(ISERROR('Model inputs'!M31&lt;='Model inputs'!C167),'Model inputs'!M31&lt;='Model inputs'!C167,IF(OR('Model inputs'!M31="",'Model inputs'!C167=""),"",'Model inputs'!M31&lt;='Model inputs'!C167))),0,IF('Model inputs'!C126="","",'Model inputs'!C126))</f>
        <v>0</v>
      </c>
      <c r="N134" s="10">
        <f>IF(IF(IF(ISERROR('Model inputs'!N31&lt;='Model inputs'!C167),'Model inputs'!N31&lt;='Model inputs'!C167,IF(OR('Model inputs'!N31="",'Model inputs'!C167=""),"",'Model inputs'!N31&lt;='Model inputs'!C167))="",FALSE,IF(ISERROR('Model inputs'!N31&lt;='Model inputs'!C167),'Model inputs'!N31&lt;='Model inputs'!C167,IF(OR('Model inputs'!N31="",'Model inputs'!C167=""),"",'Model inputs'!N31&lt;='Model inputs'!C167))),0,IF('Model inputs'!C126="","",'Model inputs'!C126))</f>
        <v>0</v>
      </c>
      <c r="O134" s="10">
        <f>IF(IF(IF(ISERROR('Model inputs'!O31&lt;='Model inputs'!C167),'Model inputs'!O31&lt;='Model inputs'!C167,IF(OR('Model inputs'!O31="",'Model inputs'!C167=""),"",'Model inputs'!O31&lt;='Model inputs'!C167))="",FALSE,IF(ISERROR('Model inputs'!O31&lt;='Model inputs'!C167),'Model inputs'!O31&lt;='Model inputs'!C167,IF(OR('Model inputs'!O31="",'Model inputs'!C167=""),"",'Model inputs'!O31&lt;='Model inputs'!C167))),0,IF('Model inputs'!C126="","",'Model inputs'!C126))</f>
        <v>0</v>
      </c>
      <c r="P134" s="10">
        <f>IF(IF(IF(ISERROR('Model inputs'!P31&lt;='Model inputs'!C167),'Model inputs'!P31&lt;='Model inputs'!C167,IF(OR('Model inputs'!P31="",'Model inputs'!C167=""),"",'Model inputs'!P31&lt;='Model inputs'!C167))="",FALSE,IF(ISERROR('Model inputs'!P31&lt;='Model inputs'!C167),'Model inputs'!P31&lt;='Model inputs'!C167,IF(OR('Model inputs'!P31="",'Model inputs'!C167=""),"",'Model inputs'!P31&lt;='Model inputs'!C167))),0,IF('Model inputs'!C126="","",'Model inputs'!C126))</f>
        <v>0</v>
      </c>
      <c r="Q134" s="10">
        <f>IF(IF(IF(ISERROR('Model inputs'!Q31&lt;='Model inputs'!C167),'Model inputs'!Q31&lt;='Model inputs'!C167,IF(OR('Model inputs'!Q31="",'Model inputs'!C167=""),"",'Model inputs'!Q31&lt;='Model inputs'!C167))="",FALSE,IF(ISERROR('Model inputs'!Q31&lt;='Model inputs'!C167),'Model inputs'!Q31&lt;='Model inputs'!C167,IF(OR('Model inputs'!Q31="",'Model inputs'!C167=""),"",'Model inputs'!Q31&lt;='Model inputs'!C167))),0,IF('Model inputs'!C126="","",'Model inputs'!C126))</f>
        <v>0</v>
      </c>
      <c r="R134" s="10">
        <f>IF(IF(IF(ISERROR('Model inputs'!R31&lt;='Model inputs'!C167),'Model inputs'!R31&lt;='Model inputs'!C167,IF(OR('Model inputs'!R31="",'Model inputs'!C167=""),"",'Model inputs'!R31&lt;='Model inputs'!C167))="",FALSE,IF(ISERROR('Model inputs'!R31&lt;='Model inputs'!C167),'Model inputs'!R31&lt;='Model inputs'!C167,IF(OR('Model inputs'!R31="",'Model inputs'!C167=""),"",'Model inputs'!R31&lt;='Model inputs'!C167))),0,IF('Model inputs'!C126="","",'Model inputs'!C126))</f>
        <v>0</v>
      </c>
      <c r="S134" s="10">
        <f>IF(IF(IF(ISERROR('Model inputs'!S31&lt;='Model inputs'!C167),'Model inputs'!S31&lt;='Model inputs'!C167,IF(OR('Model inputs'!S31="",'Model inputs'!C167=""),"",'Model inputs'!S31&lt;='Model inputs'!C167))="",FALSE,IF(ISERROR('Model inputs'!S31&lt;='Model inputs'!C167),'Model inputs'!S31&lt;='Model inputs'!C167,IF(OR('Model inputs'!S31="",'Model inputs'!C167=""),"",'Model inputs'!S31&lt;='Model inputs'!C167))),0,IF('Model inputs'!C126="","",'Model inputs'!C126))</f>
        <v>8000</v>
      </c>
      <c r="T134" s="10">
        <f>IF(IF(IF(ISERROR('Model inputs'!T31&lt;='Model inputs'!C167),'Model inputs'!T31&lt;='Model inputs'!C167,IF(OR('Model inputs'!T31="",'Model inputs'!C167=""),"",'Model inputs'!T31&lt;='Model inputs'!C167))="",FALSE,IF(ISERROR('Model inputs'!T31&lt;='Model inputs'!C167),'Model inputs'!T31&lt;='Model inputs'!C167,IF(OR('Model inputs'!T31="",'Model inputs'!C167=""),"",'Model inputs'!T31&lt;='Model inputs'!C167))),0,IF('Model inputs'!C126="","",'Model inputs'!C126))</f>
        <v>8000</v>
      </c>
      <c r="U134" s="10">
        <f>IF(IF(IF(ISERROR('Model inputs'!U31&lt;='Model inputs'!C167),'Model inputs'!U31&lt;='Model inputs'!C167,IF(OR('Model inputs'!U31="",'Model inputs'!C167=""),"",'Model inputs'!U31&lt;='Model inputs'!C167))="",FALSE,IF(ISERROR('Model inputs'!U31&lt;='Model inputs'!C167),'Model inputs'!U31&lt;='Model inputs'!C167,IF(OR('Model inputs'!U31="",'Model inputs'!C167=""),"",'Model inputs'!U31&lt;='Model inputs'!C167))),0,IF('Model inputs'!C126="","",'Model inputs'!C126))</f>
        <v>8000</v>
      </c>
      <c r="V134" s="10">
        <f>IF(IF(IF(ISERROR('Model inputs'!V31&lt;='Model inputs'!C167),'Model inputs'!V31&lt;='Model inputs'!C167,IF(OR('Model inputs'!V31="",'Model inputs'!C167=""),"",'Model inputs'!V31&lt;='Model inputs'!C167))="",FALSE,IF(ISERROR('Model inputs'!V31&lt;='Model inputs'!C167),'Model inputs'!V31&lt;='Model inputs'!C167,IF(OR('Model inputs'!V31="",'Model inputs'!C167=""),"",'Model inputs'!V31&lt;='Model inputs'!C167))),0,IF('Model inputs'!C126="","",'Model inputs'!C126))</f>
        <v>8000</v>
      </c>
      <c r="W134" s="10">
        <f>IF(IF(IF(ISERROR('Model inputs'!W31&lt;='Model inputs'!C167),'Model inputs'!W31&lt;='Model inputs'!C167,IF(OR('Model inputs'!W31="",'Model inputs'!C167=""),"",'Model inputs'!W31&lt;='Model inputs'!C167))="",FALSE,IF(ISERROR('Model inputs'!W31&lt;='Model inputs'!C167),'Model inputs'!W31&lt;='Model inputs'!C167,IF(OR('Model inputs'!W31="",'Model inputs'!C167=""),"",'Model inputs'!W31&lt;='Model inputs'!C167))),0,IF('Model inputs'!C126="","",'Model inputs'!C126))</f>
        <v>8000</v>
      </c>
      <c r="X134" s="10">
        <f>IF('Model inputs'!X43="","",'Model inputs'!X43)</f>
        <v>8000</v>
      </c>
    </row>
    <row r="135">
      <c r="A135" t="inlineStr" s="21">
        <is>
          <t xml:space="preserve">Operating profit · AgentBisect — 100 teams at month 12</t>
        </is>
      </c>
      <c r="L135" s="10">
        <v>0</v>
      </c>
      <c r="M135" s="10">
        <f>'Model inputs'!M48-'Model inputs'!M129</f>
        <v>198</v>
      </c>
      <c r="N135" s="10">
        <f>'Model inputs'!N48-'Model inputs'!N129</f>
        <v>927</v>
      </c>
      <c r="O135" s="10">
        <f>'Model inputs'!O48-'Model inputs'!O129</f>
        <v>1575</v>
      </c>
      <c r="P135" s="10">
        <f>'Model inputs'!P48-'Model inputs'!P129</f>
        <v>2223</v>
      </c>
      <c r="Q135" s="10">
        <f>'Model inputs'!Q48-'Model inputs'!Q129</f>
        <v>2952</v>
      </c>
      <c r="R135" s="10">
        <f>'Model inputs'!R48-'Model inputs'!R129</f>
        <v>3600</v>
      </c>
      <c r="S135" s="10">
        <f>'Model inputs'!S48-'Model inputs'!S129</f>
        <v>-3752</v>
      </c>
      <c r="T135" s="10">
        <f>'Model inputs'!T48-'Model inputs'!T129</f>
        <v>-3023</v>
      </c>
      <c r="U135" s="10">
        <f>'Model inputs'!U48-'Model inputs'!U129</f>
        <v>-2375</v>
      </c>
      <c r="V135" s="10">
        <f>'Model inputs'!V48-'Model inputs'!V129</f>
        <v>-1727</v>
      </c>
      <c r="W135" s="10">
        <f>'Model inputs'!W48-'Model inputs'!W129</f>
        <v>-998</v>
      </c>
      <c r="X135" s="10">
        <f>'Model inputs'!X48-'Model inputs'!X38</f>
        <v>-350</v>
      </c>
    </row>
    <row r="136">
      <c r="A136" t="inlineStr" s="21">
        <is>
          <t xml:space="preserve">Operating profit · AgentBisect — 20 teams at month 12</t>
        </is>
      </c>
      <c r="L136" s="10">
        <v>0</v>
      </c>
      <c r="M136" s="10">
        <f>'Model inputs'!M49-'Model inputs'!M131</f>
        <v>-288</v>
      </c>
      <c r="N136" s="10">
        <f>'Model inputs'!N49-'Model inputs'!N131</f>
        <v>-207</v>
      </c>
      <c r="O136" s="10">
        <f>'Model inputs'!O49-'Model inputs'!O131</f>
        <v>-45</v>
      </c>
      <c r="P136" s="10">
        <f>'Model inputs'!P49-'Model inputs'!P131</f>
        <v>117</v>
      </c>
      <c r="Q136" s="10">
        <f>'Model inputs'!Q49-'Model inputs'!Q131</f>
        <v>198</v>
      </c>
      <c r="R136" s="10">
        <f>'Model inputs'!R49-'Model inputs'!R131</f>
        <v>360</v>
      </c>
      <c r="S136" s="10">
        <f>'Model inputs'!S49-'Model inputs'!S131</f>
        <v>-7478</v>
      </c>
      <c r="T136" s="10">
        <f>'Model inputs'!T49-'Model inputs'!T131</f>
        <v>-7397</v>
      </c>
      <c r="U136" s="10">
        <f>'Model inputs'!U49-'Model inputs'!U131</f>
        <v>-7235</v>
      </c>
      <c r="V136" s="10">
        <f>'Model inputs'!V49-'Model inputs'!V131</f>
        <v>-7073</v>
      </c>
      <c r="W136" s="10">
        <f>'Model inputs'!W49-'Model inputs'!W131</f>
        <v>-6992</v>
      </c>
      <c r="X136" s="10">
        <f>'Model inputs'!X49-'Model inputs'!X40</f>
        <v>-6830</v>
      </c>
    </row>
    <row r="137">
      <c r="A137" t="inlineStr" s="21">
        <is>
          <t xml:space="preserve">Operating profit · AgentBisect — 300 teams at month 12</t>
        </is>
      </c>
      <c r="L137" s="10">
        <v>0</v>
      </c>
      <c r="M137" s="10">
        <f>'Model inputs'!M50-'Model inputs'!M133</f>
        <v>1575</v>
      </c>
      <c r="N137" s="10">
        <f>'Model inputs'!N50-'Model inputs'!N133</f>
        <v>3600</v>
      </c>
      <c r="O137" s="10">
        <f>'Model inputs'!O50-'Model inputs'!O133</f>
        <v>5625</v>
      </c>
      <c r="P137" s="10">
        <f>'Model inputs'!P50-'Model inputs'!P133</f>
        <v>7650</v>
      </c>
      <c r="Q137" s="10">
        <f>'Model inputs'!Q50-'Model inputs'!Q133</f>
        <v>9675</v>
      </c>
      <c r="R137" s="10">
        <f>'Model inputs'!R50-'Model inputs'!R133</f>
        <v>11700</v>
      </c>
      <c r="S137" s="10">
        <f>'Model inputs'!S50-'Model inputs'!S133</f>
        <v>5725</v>
      </c>
      <c r="T137" s="10">
        <f>'Model inputs'!T50-'Model inputs'!T133</f>
        <v>7750</v>
      </c>
      <c r="U137" s="10">
        <f>'Model inputs'!U50-'Model inputs'!U133</f>
        <v>9775</v>
      </c>
      <c r="V137" s="10">
        <f>'Model inputs'!V50-'Model inputs'!V133</f>
        <v>11800</v>
      </c>
      <c r="W137" s="10">
        <f>'Model inputs'!W50-'Model inputs'!W133</f>
        <v>13825</v>
      </c>
      <c r="X137" s="10">
        <f>'Model inputs'!X50-'Model inputs'!X42</f>
        <v>15850</v>
      </c>
    </row>
    <row r="138">
      <c r="A138" t="inlineStr" s="21">
        <is>
          <t xml:space="preserve">Paying teams · Revenue · AgentBisect — 100 teams at month 12 · AgentBisect — 100 teams at month 12</t>
        </is>
      </c>
      <c r="L138" s="16">
        <v>0</v>
      </c>
      <c r="M138" s="16">
        <f>ROUND('Model inputs'!C64+('Model inputs'!C53-'Model inputs'!C64)*'Model inputs'!M29/12,0)</f>
        <v>8</v>
      </c>
      <c r="N138" s="16">
        <f>ROUND('Model inputs'!C64+('Model inputs'!C53-'Model inputs'!C64)*'Model inputs'!N29/12,0)</f>
        <v>17</v>
      </c>
      <c r="O138" s="16">
        <f>ROUND('Model inputs'!C64+('Model inputs'!C53-'Model inputs'!C64)*'Model inputs'!O29/12,0)</f>
        <v>25</v>
      </c>
      <c r="P138" s="16">
        <f>ROUND('Model inputs'!C64+('Model inputs'!C53-'Model inputs'!C64)*'Model inputs'!P29/12,0)</f>
        <v>33</v>
      </c>
      <c r="Q138" s="16">
        <f>ROUND('Model inputs'!C64+('Model inputs'!C53-'Model inputs'!C64)*'Model inputs'!Q29/12,0)</f>
        <v>42</v>
      </c>
      <c r="R138" s="16">
        <f>ROUND('Model inputs'!C64+('Model inputs'!C53-'Model inputs'!C64)*'Model inputs'!R29/12,0)</f>
        <v>50</v>
      </c>
      <c r="S138" s="16">
        <f>ROUND('Model inputs'!C64+('Model inputs'!C53-'Model inputs'!C64)*'Model inputs'!S29/12,0)</f>
        <v>58</v>
      </c>
      <c r="T138" s="16">
        <f>ROUND('Model inputs'!C64+('Model inputs'!C53-'Model inputs'!C64)*'Model inputs'!T29/12,0)</f>
        <v>67</v>
      </c>
      <c r="U138" s="16">
        <f>ROUND('Model inputs'!C64+('Model inputs'!C53-'Model inputs'!C64)*'Model inputs'!U29/12,0)</f>
        <v>75</v>
      </c>
      <c r="V138" s="16">
        <f>ROUND('Model inputs'!C64+('Model inputs'!C53-'Model inputs'!C64)*'Model inputs'!V29/12,0)</f>
        <v>83</v>
      </c>
      <c r="W138" s="16">
        <f>ROUND('Model inputs'!C64+('Model inputs'!C53-'Model inputs'!C64)*'Model inputs'!W29/12,0)</f>
        <v>92</v>
      </c>
      <c r="X138" s="16">
        <f>ROUND('Model inputs'!C64+('Model inputs'!C53-'Model inputs'!C64)*'Model inputs'!X29/12,0)</f>
        <v>100</v>
      </c>
    </row>
    <row r="139">
      <c r="A139" t="inlineStr" s="21">
        <is>
          <t xml:space="preserve">Paying teams · Revenue · AgentBisect — 20 teams at month 12 · AgentBisect — 20 teams at month 12</t>
        </is>
      </c>
      <c r="L139" s="16">
        <v>0</v>
      </c>
      <c r="M139" s="16">
        <f>ROUND('Model inputs'!C65+('Model inputs'!C54-'Model inputs'!C65)*'Model inputs'!M30/12,0)</f>
        <v>2</v>
      </c>
      <c r="N139" s="16">
        <f>ROUND('Model inputs'!C65+('Model inputs'!C54-'Model inputs'!C65)*'Model inputs'!N30/12,0)</f>
        <v>3</v>
      </c>
      <c r="O139" s="16">
        <f>ROUND('Model inputs'!C65+('Model inputs'!C54-'Model inputs'!C65)*'Model inputs'!O30/12,0)</f>
        <v>5</v>
      </c>
      <c r="P139" s="16">
        <f>ROUND('Model inputs'!C65+('Model inputs'!C54-'Model inputs'!C65)*'Model inputs'!P30/12,0)</f>
        <v>7</v>
      </c>
      <c r="Q139" s="16">
        <f>ROUND('Model inputs'!C65+('Model inputs'!C54-'Model inputs'!C65)*'Model inputs'!Q30/12,0)</f>
        <v>8</v>
      </c>
      <c r="R139" s="16">
        <f>ROUND('Model inputs'!C65+('Model inputs'!C54-'Model inputs'!C65)*'Model inputs'!R30/12,0)</f>
        <v>10</v>
      </c>
      <c r="S139" s="16">
        <f>ROUND('Model inputs'!C65+('Model inputs'!C54-'Model inputs'!C65)*'Model inputs'!S30/12,0)</f>
        <v>12</v>
      </c>
      <c r="T139" s="16">
        <f>ROUND('Model inputs'!C65+('Model inputs'!C54-'Model inputs'!C65)*'Model inputs'!T30/12,0)</f>
        <v>13</v>
      </c>
      <c r="U139" s="16">
        <f>ROUND('Model inputs'!C65+('Model inputs'!C54-'Model inputs'!C65)*'Model inputs'!U30/12,0)</f>
        <v>15</v>
      </c>
      <c r="V139" s="16">
        <f>ROUND('Model inputs'!C65+('Model inputs'!C54-'Model inputs'!C65)*'Model inputs'!V30/12,0)</f>
        <v>17</v>
      </c>
      <c r="W139" s="16">
        <f>ROUND('Model inputs'!C65+('Model inputs'!C54-'Model inputs'!C65)*'Model inputs'!W30/12,0)</f>
        <v>18</v>
      </c>
      <c r="X139" s="16">
        <f>ROUND('Model inputs'!C65+('Model inputs'!C54-'Model inputs'!C65)*'Model inputs'!X30/12,0)</f>
        <v>20</v>
      </c>
    </row>
    <row r="140">
      <c r="A140" t="inlineStr" s="21">
        <is>
          <t xml:space="preserve">Paying teams · Revenue · AgentBisect — 300 teams at month 12 · AgentBisect — 300 teams at month 12</t>
        </is>
      </c>
      <c r="L140" s="16">
        <v>0</v>
      </c>
      <c r="M140" s="16">
        <f>ROUND('Model inputs'!C66+('Model inputs'!C55-'Model inputs'!C66)*'Model inputs'!M31/12,0)</f>
        <v>25</v>
      </c>
      <c r="N140" s="16">
        <f>ROUND('Model inputs'!C66+('Model inputs'!C55-'Model inputs'!C66)*'Model inputs'!N31/12,0)</f>
        <v>50</v>
      </c>
      <c r="O140" s="16">
        <f>ROUND('Model inputs'!C66+('Model inputs'!C55-'Model inputs'!C66)*'Model inputs'!O31/12,0)</f>
        <v>75</v>
      </c>
      <c r="P140" s="16">
        <f>ROUND('Model inputs'!C66+('Model inputs'!C55-'Model inputs'!C66)*'Model inputs'!P31/12,0)</f>
        <v>100</v>
      </c>
      <c r="Q140" s="16">
        <f>ROUND('Model inputs'!C66+('Model inputs'!C55-'Model inputs'!C66)*'Model inputs'!Q31/12,0)</f>
        <v>125</v>
      </c>
      <c r="R140" s="16">
        <f>ROUND('Model inputs'!C66+('Model inputs'!C55-'Model inputs'!C66)*'Model inputs'!R31/12,0)</f>
        <v>150</v>
      </c>
      <c r="S140" s="16">
        <f>ROUND('Model inputs'!C66+('Model inputs'!C55-'Model inputs'!C66)*'Model inputs'!S31/12,0)</f>
        <v>175</v>
      </c>
      <c r="T140" s="16">
        <f>ROUND('Model inputs'!C66+('Model inputs'!C55-'Model inputs'!C66)*'Model inputs'!T31/12,0)</f>
        <v>200</v>
      </c>
      <c r="U140" s="16">
        <f>ROUND('Model inputs'!C66+('Model inputs'!C55-'Model inputs'!C66)*'Model inputs'!U31/12,0)</f>
        <v>225</v>
      </c>
      <c r="V140" s="16">
        <f>ROUND('Model inputs'!C66+('Model inputs'!C55-'Model inputs'!C66)*'Model inputs'!V31/12,0)</f>
        <v>250</v>
      </c>
      <c r="W140" s="16">
        <f>ROUND('Model inputs'!C66+('Model inputs'!C55-'Model inputs'!C66)*'Model inputs'!W31/12,0)</f>
        <v>275</v>
      </c>
      <c r="X140" s="16">
        <f>ROUND('Model inputs'!C66+('Model inputs'!C55-'Model inputs'!C66)*'Model inputs'!X31/12,0)</f>
        <v>300</v>
      </c>
    </row>
    <row r="141">
      <c r="A141" t="inlineStr" s="21">
        <is>
          <t xml:space="preserve">Revenue</t>
        </is>
      </c>
      <c r="D141" s="13">
        <f>SUM('Model inputs'!D142,'Model inputs'!D143)</f>
        <v>0</v>
      </c>
      <c r="E141" s="13">
        <f>SUM('Model inputs'!E142,'Model inputs'!E143)</f>
        <v>0</v>
      </c>
      <c r="F141" s="13">
        <f>SUM('Model inputs'!F142,'Model inputs'!F143)</f>
        <v>0</v>
      </c>
      <c r="G141" s="13">
        <f>SUM('Model inputs'!G142,'Model inputs'!G143)</f>
        <v>0</v>
      </c>
      <c r="H141" s="13">
        <f>SUM('Model inputs'!H142,'Model inputs'!H143)</f>
        <v>0</v>
      </c>
      <c r="I141" s="13">
        <f>SUM('Model inputs'!I142,'Model inputs'!I143)</f>
        <v>0</v>
      </c>
      <c r="J141" s="13">
        <f>SUM('Model inputs'!J142,'Model inputs'!J143)</f>
        <v>0</v>
      </c>
      <c r="K141" s="13">
        <f>SUM('Model inputs'!K142,'Model inputs'!K143)</f>
        <v>0</v>
      </c>
      <c r="L141" s="13">
        <f>IF('Model inputs'!L67="","",'Model inputs'!L67)</f>
        <v>0</v>
      </c>
      <c r="M141" s="13">
        <f>IF('Model inputs'!M67="","",'Model inputs'!M67)</f>
        <v>495</v>
      </c>
      <c r="N141" s="13">
        <f>IF('Model inputs'!N67="","",'Model inputs'!N67)</f>
        <v>990</v>
      </c>
      <c r="O141" s="13">
        <f>IF('Model inputs'!O67="","",'Model inputs'!O67)</f>
        <v>1485</v>
      </c>
      <c r="P141" s="13">
        <f>IF('Model inputs'!P67="","",'Model inputs'!P67)</f>
        <v>1980</v>
      </c>
      <c r="Q141" s="13">
        <f>IF('Model inputs'!Q67="","",'Model inputs'!Q67)</f>
        <v>2475</v>
      </c>
      <c r="R141" s="13">
        <f>IF('Model inputs'!R67="","",'Model inputs'!R67)</f>
        <v>2970</v>
      </c>
      <c r="S141" s="13">
        <f>IF('Model inputs'!S67="","",'Model inputs'!S67)</f>
        <v>3465</v>
      </c>
      <c r="T141" s="13">
        <f>IF('Model inputs'!T67="","",'Model inputs'!T67)</f>
        <v>3960</v>
      </c>
      <c r="U141" s="13">
        <f>IF('Model inputs'!U67="","",'Model inputs'!U67)</f>
        <v>4455</v>
      </c>
      <c r="V141" s="13">
        <f>IF('Model inputs'!V67="","",'Model inputs'!V67)</f>
        <v>4950</v>
      </c>
      <c r="W141" s="13">
        <f>IF('Model inputs'!W67="","",'Model inputs'!W67)</f>
        <v>5445</v>
      </c>
      <c r="X141" s="13">
        <f>IF('Model inputs'!X67="","",'Model inputs'!X67)</f>
        <v>5940</v>
      </c>
      <c r="Y141" s="13">
        <f>IF('Model inputs'!Y67="","",'Model inputs'!Y67)</f>
        <v>6435</v>
      </c>
      <c r="Z141" s="13">
        <f>IF('Model inputs'!Z67="","",'Model inputs'!Z67)</f>
        <v>6930</v>
      </c>
      <c r="AA141" s="13">
        <f>IF('Model inputs'!AA67="","",'Model inputs'!AA67)</f>
        <v>7425</v>
      </c>
      <c r="AB141" s="13">
        <f>IF('Model inputs'!AB67="","",'Model inputs'!AB67)</f>
        <v>7920</v>
      </c>
      <c r="AC141" s="13">
        <f>IF('Model inputs'!AC67="","",'Model inputs'!AC67)</f>
        <v>8415</v>
      </c>
      <c r="AD141" s="13">
        <f>IF('Model inputs'!AD67="","",'Model inputs'!AD67)</f>
        <v>8910</v>
      </c>
      <c r="AE141" s="13">
        <f>IF('Model inputs'!AE67="","",'Model inputs'!AE67)</f>
        <v>9405</v>
      </c>
      <c r="AF141" s="13">
        <f>IF('Model inputs'!AF67="","",'Model inputs'!AF67)</f>
        <v>9900</v>
      </c>
      <c r="AG141" s="13">
        <f>IF('Model inputs'!AG67="","",'Model inputs'!AG67)</f>
        <v>10395</v>
      </c>
      <c r="AH141" s="13">
        <f>IF('Model inputs'!AH67="","",'Model inputs'!AH67)</f>
        <v>10890</v>
      </c>
      <c r="AI141" s="13">
        <f>IF('Model inputs'!AI67="","",'Model inputs'!AI67)</f>
        <v>11385</v>
      </c>
      <c r="AJ141" s="13">
        <f>IF('Model inputs'!AJ67="","",'Model inputs'!AJ67)</f>
        <v>11880</v>
      </c>
    </row>
    <row r="142" outlineLevel="1">
      <c r="A142" t="inlineStr" s="22">
        <is>
          <t xml:space="preserve">Revenue &gt; Free</t>
        </is>
      </c>
      <c r="D142" s="10">
        <f>0</f>
        <v>0</v>
      </c>
      <c r="E142" s="10">
        <f>0</f>
        <v>0</v>
      </c>
      <c r="F142" s="10">
        <f>0</f>
        <v>0</v>
      </c>
      <c r="G142" s="10">
        <f>0</f>
        <v>0</v>
      </c>
      <c r="H142" s="10">
        <f>0</f>
        <v>0</v>
      </c>
      <c r="I142" s="10">
        <f>0</f>
        <v>0</v>
      </c>
      <c r="J142" s="10">
        <f>0</f>
        <v>0</v>
      </c>
      <c r="K142" s="10">
        <f>0</f>
        <v>0</v>
      </c>
      <c r="L142" s="10">
        <f>IF('Model inputs'!L68="","",'Model inputs'!L68)</f>
        <v>0</v>
      </c>
      <c r="M142" s="10">
        <f>IF('Model inputs'!M68="","",'Model inputs'!M68)</f>
        <v>0</v>
      </c>
      <c r="N142" s="10">
        <f>IF('Model inputs'!N68="","",'Model inputs'!N68)</f>
        <v>0</v>
      </c>
      <c r="O142" s="10">
        <f>IF('Model inputs'!O68="","",'Model inputs'!O68)</f>
        <v>0</v>
      </c>
      <c r="P142" s="10">
        <f>IF('Model inputs'!P68="","",'Model inputs'!P68)</f>
        <v>0</v>
      </c>
      <c r="Q142" s="10">
        <f>IF('Model inputs'!Q68="","",'Model inputs'!Q68)</f>
        <v>0</v>
      </c>
      <c r="R142" s="10">
        <f>IF('Model inputs'!R68="","",'Model inputs'!R68)</f>
        <v>0</v>
      </c>
      <c r="S142" s="10">
        <f>IF('Model inputs'!S68="","",'Model inputs'!S68)</f>
        <v>0</v>
      </c>
      <c r="T142" s="10">
        <f>IF('Model inputs'!T68="","",'Model inputs'!T68)</f>
        <v>0</v>
      </c>
      <c r="U142" s="10">
        <f>IF('Model inputs'!U68="","",'Model inputs'!U68)</f>
        <v>0</v>
      </c>
      <c r="V142" s="10">
        <f>IF('Model inputs'!V68="","",'Model inputs'!V68)</f>
        <v>0</v>
      </c>
      <c r="W142" s="10">
        <f>IF('Model inputs'!W68="","",'Model inputs'!W68)</f>
        <v>0</v>
      </c>
      <c r="X142" s="10">
        <f>IF('Model inputs'!X68="","",'Model inputs'!X68)</f>
        <v>0</v>
      </c>
      <c r="Y142" s="10">
        <f>IF('Model inputs'!Y68="","",'Model inputs'!Y68)</f>
        <v>0</v>
      </c>
      <c r="Z142" s="10">
        <f>IF('Model inputs'!Z68="","",'Model inputs'!Z68)</f>
        <v>0</v>
      </c>
      <c r="AA142" s="10">
        <f>IF('Model inputs'!AA68="","",'Model inputs'!AA68)</f>
        <v>0</v>
      </c>
      <c r="AB142" s="10">
        <f>IF('Model inputs'!AB68="","",'Model inputs'!AB68)</f>
        <v>0</v>
      </c>
      <c r="AC142" s="10">
        <f>IF('Model inputs'!AC68="","",'Model inputs'!AC68)</f>
        <v>0</v>
      </c>
      <c r="AD142" s="10">
        <f>IF('Model inputs'!AD68="","",'Model inputs'!AD68)</f>
        <v>0</v>
      </c>
      <c r="AE142" s="10">
        <f>IF('Model inputs'!AE68="","",'Model inputs'!AE68)</f>
        <v>0</v>
      </c>
      <c r="AF142" s="10">
        <f>IF('Model inputs'!AF68="","",'Model inputs'!AF68)</f>
        <v>0</v>
      </c>
      <c r="AG142" s="10">
        <f>IF('Model inputs'!AG68="","",'Model inputs'!AG68)</f>
        <v>0</v>
      </c>
      <c r="AH142" s="10">
        <f>IF('Model inputs'!AH68="","",'Model inputs'!AH68)</f>
        <v>0</v>
      </c>
      <c r="AI142" s="10">
        <f>IF('Model inputs'!AI68="","",'Model inputs'!AI68)</f>
        <v>0</v>
      </c>
      <c r="AJ142" s="10">
        <f>IF('Model inputs'!AJ68="","",'Model inputs'!AJ68)</f>
        <v>0</v>
      </c>
    </row>
    <row r="143" outlineLevel="1">
      <c r="A143" t="inlineStr" s="22">
        <is>
          <t xml:space="preserve">Revenue &gt; Team</t>
        </is>
      </c>
      <c r="D143" s="10">
        <f>0</f>
        <v>0</v>
      </c>
      <c r="E143" s="10">
        <f>0</f>
        <v>0</v>
      </c>
      <c r="F143" s="10">
        <f>0</f>
        <v>0</v>
      </c>
      <c r="G143" s="10">
        <f>0</f>
        <v>0</v>
      </c>
      <c r="H143" s="10">
        <f>0</f>
        <v>0</v>
      </c>
      <c r="I143" s="10">
        <f>0</f>
        <v>0</v>
      </c>
      <c r="J143" s="10">
        <f>0</f>
        <v>0</v>
      </c>
      <c r="K143" s="10">
        <f>0</f>
        <v>0</v>
      </c>
      <c r="L143" s="10">
        <f>IF('Model inputs'!L69="","",'Model inputs'!L69)</f>
        <v>0</v>
      </c>
      <c r="M143" s="10">
        <f>IF('Model inputs'!M69="","",'Model inputs'!M69)</f>
        <v>495</v>
      </c>
      <c r="N143" s="10">
        <f>IF('Model inputs'!N69="","",'Model inputs'!N69)</f>
        <v>990</v>
      </c>
      <c r="O143" s="10">
        <f>IF('Model inputs'!O69="","",'Model inputs'!O69)</f>
        <v>1485</v>
      </c>
      <c r="P143" s="10">
        <f>IF('Model inputs'!P69="","",'Model inputs'!P69)</f>
        <v>1980</v>
      </c>
      <c r="Q143" s="10">
        <f>IF('Model inputs'!Q69="","",'Model inputs'!Q69)</f>
        <v>2475</v>
      </c>
      <c r="R143" s="10">
        <f>IF('Model inputs'!R69="","",'Model inputs'!R69)</f>
        <v>2970</v>
      </c>
      <c r="S143" s="10">
        <f>IF('Model inputs'!S69="","",'Model inputs'!S69)</f>
        <v>3465</v>
      </c>
      <c r="T143" s="10">
        <f>IF('Model inputs'!T69="","",'Model inputs'!T69)</f>
        <v>3960</v>
      </c>
      <c r="U143" s="10">
        <f>IF('Model inputs'!U69="","",'Model inputs'!U69)</f>
        <v>4455</v>
      </c>
      <c r="V143" s="10">
        <f>IF('Model inputs'!V69="","",'Model inputs'!V69)</f>
        <v>4950</v>
      </c>
      <c r="W143" s="10">
        <f>IF('Model inputs'!W69="","",'Model inputs'!W69)</f>
        <v>5445</v>
      </c>
      <c r="X143" s="10">
        <f>IF('Model inputs'!X69="","",'Model inputs'!X69)</f>
        <v>5940</v>
      </c>
      <c r="Y143" s="10">
        <f>IF('Model inputs'!Y69="","",'Model inputs'!Y69)</f>
        <v>6435</v>
      </c>
      <c r="Z143" s="10">
        <f>IF('Model inputs'!Z69="","",'Model inputs'!Z69)</f>
        <v>6930</v>
      </c>
      <c r="AA143" s="10">
        <f>IF('Model inputs'!AA69="","",'Model inputs'!AA69)</f>
        <v>7425</v>
      </c>
      <c r="AB143" s="10">
        <f>IF('Model inputs'!AB69="","",'Model inputs'!AB69)</f>
        <v>7920</v>
      </c>
      <c r="AC143" s="10">
        <f>IF('Model inputs'!AC69="","",'Model inputs'!AC69)</f>
        <v>8415</v>
      </c>
      <c r="AD143" s="10">
        <f>IF('Model inputs'!AD69="","",'Model inputs'!AD69)</f>
        <v>8910</v>
      </c>
      <c r="AE143" s="10">
        <f>IF('Model inputs'!AE69="","",'Model inputs'!AE69)</f>
        <v>9405</v>
      </c>
      <c r="AF143" s="10">
        <f>IF('Model inputs'!AF69="","",'Model inputs'!AF69)</f>
        <v>9900</v>
      </c>
      <c r="AG143" s="10">
        <f>IF('Model inputs'!AG69="","",'Model inputs'!AG69)</f>
        <v>10395</v>
      </c>
      <c r="AH143" s="10">
        <f>IF('Model inputs'!AH69="","",'Model inputs'!AH69)</f>
        <v>10890</v>
      </c>
      <c r="AI143" s="10">
        <f>IF('Model inputs'!AI69="","",'Model inputs'!AI69)</f>
        <v>11385</v>
      </c>
      <c r="AJ143" s="10">
        <f>IF('Model inputs'!AJ69="","",'Model inputs'!AJ69)</f>
        <v>11880</v>
      </c>
    </row>
    <row r="144">
      <c r="A144" t="inlineStr" s="21">
        <is>
          <t xml:space="preserve">Revenue</t>
        </is>
      </c>
      <c r="L144" s="13">
        <f>SUM('Model inputs'!L145,'Model inputs'!L146)</f>
        <v>0</v>
      </c>
      <c r="M144" s="13">
        <f>SUM('Model inputs'!M145,'Model inputs'!M146)</f>
        <v>792</v>
      </c>
      <c r="N144" s="13">
        <f>SUM('Model inputs'!N145,'Model inputs'!N146)</f>
        <v>1683</v>
      </c>
      <c r="O144" s="13">
        <f>SUM('Model inputs'!O145,'Model inputs'!O146)</f>
        <v>2475</v>
      </c>
      <c r="P144" s="13">
        <f>SUM('Model inputs'!P145,'Model inputs'!P146)</f>
        <v>3267</v>
      </c>
      <c r="Q144" s="13">
        <f>SUM('Model inputs'!Q145,'Model inputs'!Q146)</f>
        <v>4158</v>
      </c>
      <c r="R144" s="13">
        <f>SUM('Model inputs'!R145,'Model inputs'!R146)</f>
        <v>4950</v>
      </c>
      <c r="S144" s="13">
        <f>SUM('Model inputs'!S145,'Model inputs'!S146)</f>
        <v>5742</v>
      </c>
      <c r="T144" s="13">
        <f>SUM('Model inputs'!T145,'Model inputs'!T146)</f>
        <v>6633</v>
      </c>
      <c r="U144" s="13">
        <f>SUM('Model inputs'!U145,'Model inputs'!U146)</f>
        <v>7425</v>
      </c>
      <c r="V144" s="13">
        <f>SUM('Model inputs'!V145,'Model inputs'!V146)</f>
        <v>8217</v>
      </c>
      <c r="W144" s="13">
        <f>SUM('Model inputs'!W145,'Model inputs'!W146)</f>
        <v>9108</v>
      </c>
      <c r="X144" s="13">
        <f>IF('Model inputs'!X70="","",'Model inputs'!X70)</f>
        <v>9900</v>
      </c>
    </row>
    <row r="145" outlineLevel="1">
      <c r="A145" t="inlineStr" s="22">
        <is>
          <t xml:space="preserve">Revenue &gt; Free</t>
        </is>
      </c>
      <c r="L145" s="10">
        <f>'Monthly forecast and cash'!B13</f>
        <v>0</v>
      </c>
      <c r="M145" s="10">
        <f>IF(IF(EXACT("Free","Team"),IF('Model inputs'!M138="","",'Model inputs'!M138),IF('Model inputs'!M168="","",'Model inputs'!M168))="",0,IF(EXACT("Free","Team"),IF('Model inputs'!M138="","",'Model inputs'!M138),IF('Model inputs'!M168="","",'Model inputs'!M168)))*'Model inputs'!C154</f>
        <v>0</v>
      </c>
      <c r="N145" s="10">
        <f>IF(IF(EXACT("Free","Team"),IF('Model inputs'!N138="","",'Model inputs'!N138),IF('Model inputs'!N168="","",'Model inputs'!N168))="",0,IF(EXACT("Free","Team"),IF('Model inputs'!N138="","",'Model inputs'!N138),IF('Model inputs'!N168="","",'Model inputs'!N168)))*'Model inputs'!C154</f>
        <v>0</v>
      </c>
      <c r="O145" s="10">
        <f>IF(IF(EXACT("Free","Team"),IF('Model inputs'!O138="","",'Model inputs'!O138),IF('Model inputs'!O168="","",'Model inputs'!O168))="",0,IF(EXACT("Free","Team"),IF('Model inputs'!O138="","",'Model inputs'!O138),IF('Model inputs'!O168="","",'Model inputs'!O168)))*'Model inputs'!C154</f>
        <v>0</v>
      </c>
      <c r="P145" s="10">
        <f>IF(IF(EXACT("Free","Team"),IF('Model inputs'!P138="","",'Model inputs'!P138),IF('Model inputs'!P168="","",'Model inputs'!P168))="",0,IF(EXACT("Free","Team"),IF('Model inputs'!P138="","",'Model inputs'!P138),IF('Model inputs'!P168="","",'Model inputs'!P168)))*'Model inputs'!C154</f>
        <v>0</v>
      </c>
      <c r="Q145" s="10">
        <f>IF(IF(EXACT("Free","Team"),IF('Model inputs'!Q138="","",'Model inputs'!Q138),IF('Model inputs'!Q168="","",'Model inputs'!Q168))="",0,IF(EXACT("Free","Team"),IF('Model inputs'!Q138="","",'Model inputs'!Q138),IF('Model inputs'!Q168="","",'Model inputs'!Q168)))*'Model inputs'!C154</f>
        <v>0</v>
      </c>
      <c r="R145" s="10">
        <f>IF(IF(EXACT("Free","Team"),IF('Model inputs'!R138="","",'Model inputs'!R138),IF('Model inputs'!R168="","",'Model inputs'!R168))="",0,IF(EXACT("Free","Team"),IF('Model inputs'!R138="","",'Model inputs'!R138),IF('Model inputs'!R168="","",'Model inputs'!R168)))*'Model inputs'!C154</f>
        <v>0</v>
      </c>
      <c r="S145" s="10">
        <f>IF(IF(EXACT("Free","Team"),IF('Model inputs'!S138="","",'Model inputs'!S138),IF('Model inputs'!S168="","",'Model inputs'!S168))="",0,IF(EXACT("Free","Team"),IF('Model inputs'!S138="","",'Model inputs'!S138),IF('Model inputs'!S168="","",'Model inputs'!S168)))*'Model inputs'!C154</f>
        <v>0</v>
      </c>
      <c r="T145" s="10">
        <f>IF(IF(EXACT("Free","Team"),IF('Model inputs'!T138="","",'Model inputs'!T138),IF('Model inputs'!T168="","",'Model inputs'!T168))="",0,IF(EXACT("Free","Team"),IF('Model inputs'!T138="","",'Model inputs'!T138),IF('Model inputs'!T168="","",'Model inputs'!T168)))*'Model inputs'!C154</f>
        <v>0</v>
      </c>
      <c r="U145" s="10">
        <f>IF(IF(EXACT("Free","Team"),IF('Model inputs'!U138="","",'Model inputs'!U138),IF('Model inputs'!U168="","",'Model inputs'!U168))="",0,IF(EXACT("Free","Team"),IF('Model inputs'!U138="","",'Model inputs'!U138),IF('Model inputs'!U168="","",'Model inputs'!U168)))*'Model inputs'!C154</f>
        <v>0</v>
      </c>
      <c r="V145" s="10">
        <f>IF(IF(EXACT("Free","Team"),IF('Model inputs'!V138="","",'Model inputs'!V138),IF('Model inputs'!V168="","",'Model inputs'!V168))="",0,IF(EXACT("Free","Team"),IF('Model inputs'!V138="","",'Model inputs'!V138),IF('Model inputs'!V168="","",'Model inputs'!V168)))*'Model inputs'!C154</f>
        <v>0</v>
      </c>
      <c r="W145" s="10">
        <f>IF(IF(EXACT("Free","Team"),IF('Model inputs'!W138="","",'Model inputs'!W138),IF('Model inputs'!W168="","",'Model inputs'!W168))="",0,IF(EXACT("Free","Team"),IF('Model inputs'!W138="","",'Model inputs'!W138),IF('Model inputs'!W168="","",'Model inputs'!W168)))*'Model inputs'!C154</f>
        <v>0</v>
      </c>
      <c r="X145" s="10">
        <f>IF('Model inputs'!X71="","",'Model inputs'!X71)</f>
        <v>0</v>
      </c>
    </row>
    <row r="146" outlineLevel="1">
      <c r="A146" t="inlineStr" s="22">
        <is>
          <t xml:space="preserve">Revenue &gt; Team</t>
        </is>
      </c>
      <c r="L146" s="10">
        <f>'Monthly forecast and cash'!B14</f>
        <v>0</v>
      </c>
      <c r="M146" s="10">
        <f>IF(IF(EXACT("Team","Team"),IF('Model inputs'!M138="","",'Model inputs'!M138),IF('Model inputs'!M168="","",'Model inputs'!M168))="",0,IF(EXACT("Team","Team"),IF('Model inputs'!M138="","",'Model inputs'!M138),IF('Model inputs'!M168="","",'Model inputs'!M168)))*'Model inputs'!C155</f>
        <v>792</v>
      </c>
      <c r="N146" s="10">
        <f>IF(IF(EXACT("Team","Team"),IF('Model inputs'!N138="","",'Model inputs'!N138),IF('Model inputs'!N168="","",'Model inputs'!N168))="",0,IF(EXACT("Team","Team"),IF('Model inputs'!N138="","",'Model inputs'!N138),IF('Model inputs'!N168="","",'Model inputs'!N168)))*'Model inputs'!C155</f>
        <v>1683</v>
      </c>
      <c r="O146" s="10">
        <f>IF(IF(EXACT("Team","Team"),IF('Model inputs'!O138="","",'Model inputs'!O138),IF('Model inputs'!O168="","",'Model inputs'!O168))="",0,IF(EXACT("Team","Team"),IF('Model inputs'!O138="","",'Model inputs'!O138),IF('Model inputs'!O168="","",'Model inputs'!O168)))*'Model inputs'!C155</f>
        <v>2475</v>
      </c>
      <c r="P146" s="10">
        <f>IF(IF(EXACT("Team","Team"),IF('Model inputs'!P138="","",'Model inputs'!P138),IF('Model inputs'!P168="","",'Model inputs'!P168))="",0,IF(EXACT("Team","Team"),IF('Model inputs'!P138="","",'Model inputs'!P138),IF('Model inputs'!P168="","",'Model inputs'!P168)))*'Model inputs'!C155</f>
        <v>3267</v>
      </c>
      <c r="Q146" s="10">
        <f>IF(IF(EXACT("Team","Team"),IF('Model inputs'!Q138="","",'Model inputs'!Q138),IF('Model inputs'!Q168="","",'Model inputs'!Q168))="",0,IF(EXACT("Team","Team"),IF('Model inputs'!Q138="","",'Model inputs'!Q138),IF('Model inputs'!Q168="","",'Model inputs'!Q168)))*'Model inputs'!C155</f>
        <v>4158</v>
      </c>
      <c r="R146" s="10">
        <f>IF(IF(EXACT("Team","Team"),IF('Model inputs'!R138="","",'Model inputs'!R138),IF('Model inputs'!R168="","",'Model inputs'!R168))="",0,IF(EXACT("Team","Team"),IF('Model inputs'!R138="","",'Model inputs'!R138),IF('Model inputs'!R168="","",'Model inputs'!R168)))*'Model inputs'!C155</f>
        <v>4950</v>
      </c>
      <c r="S146" s="10">
        <f>IF(IF(EXACT("Team","Team"),IF('Model inputs'!S138="","",'Model inputs'!S138),IF('Model inputs'!S168="","",'Model inputs'!S168))="",0,IF(EXACT("Team","Team"),IF('Model inputs'!S138="","",'Model inputs'!S138),IF('Model inputs'!S168="","",'Model inputs'!S168)))*'Model inputs'!C155</f>
        <v>5742</v>
      </c>
      <c r="T146" s="10">
        <f>IF(IF(EXACT("Team","Team"),IF('Model inputs'!T138="","",'Model inputs'!T138),IF('Model inputs'!T168="","",'Model inputs'!T168))="",0,IF(EXACT("Team","Team"),IF('Model inputs'!T138="","",'Model inputs'!T138),IF('Model inputs'!T168="","",'Model inputs'!T168)))*'Model inputs'!C155</f>
        <v>6633</v>
      </c>
      <c r="U146" s="10">
        <f>IF(IF(EXACT("Team","Team"),IF('Model inputs'!U138="","",'Model inputs'!U138),IF('Model inputs'!U168="","",'Model inputs'!U168))="",0,IF(EXACT("Team","Team"),IF('Model inputs'!U138="","",'Model inputs'!U138),IF('Model inputs'!U168="","",'Model inputs'!U168)))*'Model inputs'!C155</f>
        <v>7425</v>
      </c>
      <c r="V146" s="10">
        <f>IF(IF(EXACT("Team","Team"),IF('Model inputs'!V138="","",'Model inputs'!V138),IF('Model inputs'!V168="","",'Model inputs'!V168))="",0,IF(EXACT("Team","Team"),IF('Model inputs'!V138="","",'Model inputs'!V138),IF('Model inputs'!V168="","",'Model inputs'!V168)))*'Model inputs'!C155</f>
        <v>8217</v>
      </c>
      <c r="W146" s="10">
        <f>IF(IF(EXACT("Team","Team"),IF('Model inputs'!W138="","",'Model inputs'!W138),IF('Model inputs'!W168="","",'Model inputs'!W168))="",0,IF(EXACT("Team","Team"),IF('Model inputs'!W138="","",'Model inputs'!W138),IF('Model inputs'!W168="","",'Model inputs'!W168)))*'Model inputs'!C155</f>
        <v>9108</v>
      </c>
      <c r="X146" s="10">
        <f>IF('Model inputs'!X72="","",'Model inputs'!X72)</f>
        <v>9900</v>
      </c>
    </row>
    <row r="147">
      <c r="A147" t="inlineStr" s="21">
        <is>
          <t xml:space="preserve">Revenue</t>
        </is>
      </c>
      <c r="L147" s="13">
        <f>SUM('Model inputs'!L148,'Model inputs'!L149)</f>
        <v>0</v>
      </c>
      <c r="M147" s="13">
        <f>SUM('Model inputs'!M148,'Model inputs'!M149)</f>
        <v>198</v>
      </c>
      <c r="N147" s="13">
        <f>SUM('Model inputs'!N148,'Model inputs'!N149)</f>
        <v>297</v>
      </c>
      <c r="O147" s="13">
        <f>SUM('Model inputs'!O148,'Model inputs'!O149)</f>
        <v>495</v>
      </c>
      <c r="P147" s="13">
        <f>SUM('Model inputs'!P148,'Model inputs'!P149)</f>
        <v>693</v>
      </c>
      <c r="Q147" s="13">
        <f>SUM('Model inputs'!Q148,'Model inputs'!Q149)</f>
        <v>792</v>
      </c>
      <c r="R147" s="13">
        <f>SUM('Model inputs'!R148,'Model inputs'!R149)</f>
        <v>990</v>
      </c>
      <c r="S147" s="13">
        <f>SUM('Model inputs'!S148,'Model inputs'!S149)</f>
        <v>1188</v>
      </c>
      <c r="T147" s="13">
        <f>SUM('Model inputs'!T148,'Model inputs'!T149)</f>
        <v>1287</v>
      </c>
      <c r="U147" s="13">
        <f>SUM('Model inputs'!U148,'Model inputs'!U149)</f>
        <v>1485</v>
      </c>
      <c r="V147" s="13">
        <f>SUM('Model inputs'!V148,'Model inputs'!V149)</f>
        <v>1683</v>
      </c>
      <c r="W147" s="13">
        <f>SUM('Model inputs'!W148,'Model inputs'!W149)</f>
        <v>1782</v>
      </c>
      <c r="X147" s="13">
        <f>IF('Model inputs'!X73="","",'Model inputs'!X73)</f>
        <v>1980</v>
      </c>
    </row>
    <row r="148" outlineLevel="1">
      <c r="A148" t="inlineStr" s="22">
        <is>
          <t xml:space="preserve">Revenue &gt; Free</t>
        </is>
      </c>
      <c r="L148" s="10">
        <f>'Monthly forecast and cash'!B13</f>
        <v>0</v>
      </c>
      <c r="M148" s="10">
        <f>IF(IF(EXACT("Free","Team"),IF('Model inputs'!M139="","",'Model inputs'!M139),IF('Model inputs'!M169="","",'Model inputs'!M169))="",0,IF(EXACT("Free","Team"),IF('Model inputs'!M139="","",'Model inputs'!M139),IF('Model inputs'!M169="","",'Model inputs'!M169)))*'Model inputs'!C157</f>
        <v>0</v>
      </c>
      <c r="N148" s="10">
        <f>IF(IF(EXACT("Free","Team"),IF('Model inputs'!N139="","",'Model inputs'!N139),IF('Model inputs'!N169="","",'Model inputs'!N169))="",0,IF(EXACT("Free","Team"),IF('Model inputs'!N139="","",'Model inputs'!N139),IF('Model inputs'!N169="","",'Model inputs'!N169)))*'Model inputs'!C157</f>
        <v>0</v>
      </c>
      <c r="O148" s="10">
        <f>IF(IF(EXACT("Free","Team"),IF('Model inputs'!O139="","",'Model inputs'!O139),IF('Model inputs'!O169="","",'Model inputs'!O169))="",0,IF(EXACT("Free","Team"),IF('Model inputs'!O139="","",'Model inputs'!O139),IF('Model inputs'!O169="","",'Model inputs'!O169)))*'Model inputs'!C157</f>
        <v>0</v>
      </c>
      <c r="P148" s="10">
        <f>IF(IF(EXACT("Free","Team"),IF('Model inputs'!P139="","",'Model inputs'!P139),IF('Model inputs'!P169="","",'Model inputs'!P169))="",0,IF(EXACT("Free","Team"),IF('Model inputs'!P139="","",'Model inputs'!P139),IF('Model inputs'!P169="","",'Model inputs'!P169)))*'Model inputs'!C157</f>
        <v>0</v>
      </c>
      <c r="Q148" s="10">
        <f>IF(IF(EXACT("Free","Team"),IF('Model inputs'!Q139="","",'Model inputs'!Q139),IF('Model inputs'!Q169="","",'Model inputs'!Q169))="",0,IF(EXACT("Free","Team"),IF('Model inputs'!Q139="","",'Model inputs'!Q139),IF('Model inputs'!Q169="","",'Model inputs'!Q169)))*'Model inputs'!C157</f>
        <v>0</v>
      </c>
      <c r="R148" s="10">
        <f>IF(IF(EXACT("Free","Team"),IF('Model inputs'!R139="","",'Model inputs'!R139),IF('Model inputs'!R169="","",'Model inputs'!R169))="",0,IF(EXACT("Free","Team"),IF('Model inputs'!R139="","",'Model inputs'!R139),IF('Model inputs'!R169="","",'Model inputs'!R169)))*'Model inputs'!C157</f>
        <v>0</v>
      </c>
      <c r="S148" s="10">
        <f>IF(IF(EXACT("Free","Team"),IF('Model inputs'!S139="","",'Model inputs'!S139),IF('Model inputs'!S169="","",'Model inputs'!S169))="",0,IF(EXACT("Free","Team"),IF('Model inputs'!S139="","",'Model inputs'!S139),IF('Model inputs'!S169="","",'Model inputs'!S169)))*'Model inputs'!C157</f>
        <v>0</v>
      </c>
      <c r="T148" s="10">
        <f>IF(IF(EXACT("Free","Team"),IF('Model inputs'!T139="","",'Model inputs'!T139),IF('Model inputs'!T169="","",'Model inputs'!T169))="",0,IF(EXACT("Free","Team"),IF('Model inputs'!T139="","",'Model inputs'!T139),IF('Model inputs'!T169="","",'Model inputs'!T169)))*'Model inputs'!C157</f>
        <v>0</v>
      </c>
      <c r="U148" s="10">
        <f>IF(IF(EXACT("Free","Team"),IF('Model inputs'!U139="","",'Model inputs'!U139),IF('Model inputs'!U169="","",'Model inputs'!U169))="",0,IF(EXACT("Free","Team"),IF('Model inputs'!U139="","",'Model inputs'!U139),IF('Model inputs'!U169="","",'Model inputs'!U169)))*'Model inputs'!C157</f>
        <v>0</v>
      </c>
      <c r="V148" s="10">
        <f>IF(IF(EXACT("Free","Team"),IF('Model inputs'!V139="","",'Model inputs'!V139),IF('Model inputs'!V169="","",'Model inputs'!V169))="",0,IF(EXACT("Free","Team"),IF('Model inputs'!V139="","",'Model inputs'!V139),IF('Model inputs'!V169="","",'Model inputs'!V169)))*'Model inputs'!C157</f>
        <v>0</v>
      </c>
      <c r="W148" s="10">
        <f>IF(IF(EXACT("Free","Team"),IF('Model inputs'!W139="","",'Model inputs'!W139),IF('Model inputs'!W169="","",'Model inputs'!W169))="",0,IF(EXACT("Free","Team"),IF('Model inputs'!W139="","",'Model inputs'!W139),IF('Model inputs'!W169="","",'Model inputs'!W169)))*'Model inputs'!C157</f>
        <v>0</v>
      </c>
      <c r="X148" s="10">
        <f>IF('Model inputs'!X74="","",'Model inputs'!X74)</f>
        <v>0</v>
      </c>
    </row>
    <row r="149" outlineLevel="1">
      <c r="A149" t="inlineStr" s="22">
        <is>
          <t xml:space="preserve">Revenue &gt; Team</t>
        </is>
      </c>
      <c r="L149" s="10">
        <f>'Monthly forecast and cash'!B14</f>
        <v>0</v>
      </c>
      <c r="M149" s="10">
        <f>IF(IF(EXACT("Team","Team"),IF('Model inputs'!M139="","",'Model inputs'!M139),IF('Model inputs'!M169="","",'Model inputs'!M169))="",0,IF(EXACT("Team","Team"),IF('Model inputs'!M139="","",'Model inputs'!M139),IF('Model inputs'!M169="","",'Model inputs'!M169)))*'Model inputs'!C158</f>
        <v>198</v>
      </c>
      <c r="N149" s="10">
        <f>IF(IF(EXACT("Team","Team"),IF('Model inputs'!N139="","",'Model inputs'!N139),IF('Model inputs'!N169="","",'Model inputs'!N169))="",0,IF(EXACT("Team","Team"),IF('Model inputs'!N139="","",'Model inputs'!N139),IF('Model inputs'!N169="","",'Model inputs'!N169)))*'Model inputs'!C158</f>
        <v>297</v>
      </c>
      <c r="O149" s="10">
        <f>IF(IF(EXACT("Team","Team"),IF('Model inputs'!O139="","",'Model inputs'!O139),IF('Model inputs'!O169="","",'Model inputs'!O169))="",0,IF(EXACT("Team","Team"),IF('Model inputs'!O139="","",'Model inputs'!O139),IF('Model inputs'!O169="","",'Model inputs'!O169)))*'Model inputs'!C158</f>
        <v>495</v>
      </c>
      <c r="P149" s="10">
        <f>IF(IF(EXACT("Team","Team"),IF('Model inputs'!P139="","",'Model inputs'!P139),IF('Model inputs'!P169="","",'Model inputs'!P169))="",0,IF(EXACT("Team","Team"),IF('Model inputs'!P139="","",'Model inputs'!P139),IF('Model inputs'!P169="","",'Model inputs'!P169)))*'Model inputs'!C158</f>
        <v>693</v>
      </c>
      <c r="Q149" s="10">
        <f>IF(IF(EXACT("Team","Team"),IF('Model inputs'!Q139="","",'Model inputs'!Q139),IF('Model inputs'!Q169="","",'Model inputs'!Q169))="",0,IF(EXACT("Team","Team"),IF('Model inputs'!Q139="","",'Model inputs'!Q139),IF('Model inputs'!Q169="","",'Model inputs'!Q169)))*'Model inputs'!C158</f>
        <v>792</v>
      </c>
      <c r="R149" s="10">
        <f>IF(IF(EXACT("Team","Team"),IF('Model inputs'!R139="","",'Model inputs'!R139),IF('Model inputs'!R169="","",'Model inputs'!R169))="",0,IF(EXACT("Team","Team"),IF('Model inputs'!R139="","",'Model inputs'!R139),IF('Model inputs'!R169="","",'Model inputs'!R169)))*'Model inputs'!C158</f>
        <v>990</v>
      </c>
      <c r="S149" s="10">
        <f>IF(IF(EXACT("Team","Team"),IF('Model inputs'!S139="","",'Model inputs'!S139),IF('Model inputs'!S169="","",'Model inputs'!S169))="",0,IF(EXACT("Team","Team"),IF('Model inputs'!S139="","",'Model inputs'!S139),IF('Model inputs'!S169="","",'Model inputs'!S169)))*'Model inputs'!C158</f>
        <v>1188</v>
      </c>
      <c r="T149" s="10">
        <f>IF(IF(EXACT("Team","Team"),IF('Model inputs'!T139="","",'Model inputs'!T139),IF('Model inputs'!T169="","",'Model inputs'!T169))="",0,IF(EXACT("Team","Team"),IF('Model inputs'!T139="","",'Model inputs'!T139),IF('Model inputs'!T169="","",'Model inputs'!T169)))*'Model inputs'!C158</f>
        <v>1287</v>
      </c>
      <c r="U149" s="10">
        <f>IF(IF(EXACT("Team","Team"),IF('Model inputs'!U139="","",'Model inputs'!U139),IF('Model inputs'!U169="","",'Model inputs'!U169))="",0,IF(EXACT("Team","Team"),IF('Model inputs'!U139="","",'Model inputs'!U139),IF('Model inputs'!U169="","",'Model inputs'!U169)))*'Model inputs'!C158</f>
        <v>1485</v>
      </c>
      <c r="V149" s="10">
        <f>IF(IF(EXACT("Team","Team"),IF('Model inputs'!V139="","",'Model inputs'!V139),IF('Model inputs'!V169="","",'Model inputs'!V169))="",0,IF(EXACT("Team","Team"),IF('Model inputs'!V139="","",'Model inputs'!V139),IF('Model inputs'!V169="","",'Model inputs'!V169)))*'Model inputs'!C158</f>
        <v>1683</v>
      </c>
      <c r="W149" s="10">
        <f>IF(IF(EXACT("Team","Team"),IF('Model inputs'!W139="","",'Model inputs'!W139),IF('Model inputs'!W169="","",'Model inputs'!W169))="",0,IF(EXACT("Team","Team"),IF('Model inputs'!W139="","",'Model inputs'!W139),IF('Model inputs'!W169="","",'Model inputs'!W169)))*'Model inputs'!C158</f>
        <v>1782</v>
      </c>
      <c r="X149" s="10">
        <f>IF('Model inputs'!X75="","",'Model inputs'!X75)</f>
        <v>1980</v>
      </c>
    </row>
    <row r="150">
      <c r="A150" t="inlineStr" s="21">
        <is>
          <t xml:space="preserve">Revenue</t>
        </is>
      </c>
      <c r="L150" s="13">
        <f>SUM('Model inputs'!L151,'Model inputs'!L152)</f>
        <v>0</v>
      </c>
      <c r="M150" s="13">
        <f>SUM('Model inputs'!M151,'Model inputs'!M152)</f>
        <v>2475</v>
      </c>
      <c r="N150" s="13">
        <f>SUM('Model inputs'!N151,'Model inputs'!N152)</f>
        <v>4950</v>
      </c>
      <c r="O150" s="13">
        <f>SUM('Model inputs'!O151,'Model inputs'!O152)</f>
        <v>7425</v>
      </c>
      <c r="P150" s="13">
        <f>SUM('Model inputs'!P151,'Model inputs'!P152)</f>
        <v>9900</v>
      </c>
      <c r="Q150" s="13">
        <f>SUM('Model inputs'!Q151,'Model inputs'!Q152)</f>
        <v>12375</v>
      </c>
      <c r="R150" s="13">
        <f>SUM('Model inputs'!R151,'Model inputs'!R152)</f>
        <v>14850</v>
      </c>
      <c r="S150" s="13">
        <f>SUM('Model inputs'!S151,'Model inputs'!S152)</f>
        <v>17325</v>
      </c>
      <c r="T150" s="13">
        <f>SUM('Model inputs'!T151,'Model inputs'!T152)</f>
        <v>19800</v>
      </c>
      <c r="U150" s="13">
        <f>SUM('Model inputs'!U151,'Model inputs'!U152)</f>
        <v>22275</v>
      </c>
      <c r="V150" s="13">
        <f>SUM('Model inputs'!V151,'Model inputs'!V152)</f>
        <v>24750</v>
      </c>
      <c r="W150" s="13">
        <f>SUM('Model inputs'!W151,'Model inputs'!W152)</f>
        <v>27225</v>
      </c>
      <c r="X150" s="13">
        <f>IF('Model inputs'!X76="","",'Model inputs'!X76)</f>
        <v>29700</v>
      </c>
    </row>
    <row r="151" outlineLevel="1">
      <c r="A151" t="inlineStr" s="22">
        <is>
          <t xml:space="preserve">Revenue &gt; Free</t>
        </is>
      </c>
      <c r="L151" s="10">
        <f>'Monthly forecast and cash'!B13</f>
        <v>0</v>
      </c>
      <c r="M151" s="10">
        <f>IF(IF(EXACT("Free","Team"),IF('Model inputs'!M140="","",'Model inputs'!M140),IF('Model inputs'!M170="","",'Model inputs'!M170))="",0,IF(EXACT("Free","Team"),IF('Model inputs'!M140="","",'Model inputs'!M140),IF('Model inputs'!M170="","",'Model inputs'!M170)))*'Model inputs'!C160</f>
        <v>0</v>
      </c>
      <c r="N151" s="10">
        <f>IF(IF(EXACT("Free","Team"),IF('Model inputs'!N140="","",'Model inputs'!N140),IF('Model inputs'!N170="","",'Model inputs'!N170))="",0,IF(EXACT("Free","Team"),IF('Model inputs'!N140="","",'Model inputs'!N140),IF('Model inputs'!N170="","",'Model inputs'!N170)))*'Model inputs'!C160</f>
        <v>0</v>
      </c>
      <c r="O151" s="10">
        <f>IF(IF(EXACT("Free","Team"),IF('Model inputs'!O140="","",'Model inputs'!O140),IF('Model inputs'!O170="","",'Model inputs'!O170))="",0,IF(EXACT("Free","Team"),IF('Model inputs'!O140="","",'Model inputs'!O140),IF('Model inputs'!O170="","",'Model inputs'!O170)))*'Model inputs'!C160</f>
        <v>0</v>
      </c>
      <c r="P151" s="10">
        <f>IF(IF(EXACT("Free","Team"),IF('Model inputs'!P140="","",'Model inputs'!P140),IF('Model inputs'!P170="","",'Model inputs'!P170))="",0,IF(EXACT("Free","Team"),IF('Model inputs'!P140="","",'Model inputs'!P140),IF('Model inputs'!P170="","",'Model inputs'!P170)))*'Model inputs'!C160</f>
        <v>0</v>
      </c>
      <c r="Q151" s="10">
        <f>IF(IF(EXACT("Free","Team"),IF('Model inputs'!Q140="","",'Model inputs'!Q140),IF('Model inputs'!Q170="","",'Model inputs'!Q170))="",0,IF(EXACT("Free","Team"),IF('Model inputs'!Q140="","",'Model inputs'!Q140),IF('Model inputs'!Q170="","",'Model inputs'!Q170)))*'Model inputs'!C160</f>
        <v>0</v>
      </c>
      <c r="R151" s="10">
        <f>IF(IF(EXACT("Free","Team"),IF('Model inputs'!R140="","",'Model inputs'!R140),IF('Model inputs'!R170="","",'Model inputs'!R170))="",0,IF(EXACT("Free","Team"),IF('Model inputs'!R140="","",'Model inputs'!R140),IF('Model inputs'!R170="","",'Model inputs'!R170)))*'Model inputs'!C160</f>
        <v>0</v>
      </c>
      <c r="S151" s="10">
        <f>IF(IF(EXACT("Free","Team"),IF('Model inputs'!S140="","",'Model inputs'!S140),IF('Model inputs'!S170="","",'Model inputs'!S170))="",0,IF(EXACT("Free","Team"),IF('Model inputs'!S140="","",'Model inputs'!S140),IF('Model inputs'!S170="","",'Model inputs'!S170)))*'Model inputs'!C160</f>
        <v>0</v>
      </c>
      <c r="T151" s="10">
        <f>IF(IF(EXACT("Free","Team"),IF('Model inputs'!T140="","",'Model inputs'!T140),IF('Model inputs'!T170="","",'Model inputs'!T170))="",0,IF(EXACT("Free","Team"),IF('Model inputs'!T140="","",'Model inputs'!T140),IF('Model inputs'!T170="","",'Model inputs'!T170)))*'Model inputs'!C160</f>
        <v>0</v>
      </c>
      <c r="U151" s="10">
        <f>IF(IF(EXACT("Free","Team"),IF('Model inputs'!U140="","",'Model inputs'!U140),IF('Model inputs'!U170="","",'Model inputs'!U170))="",0,IF(EXACT("Free","Team"),IF('Model inputs'!U140="","",'Model inputs'!U140),IF('Model inputs'!U170="","",'Model inputs'!U170)))*'Model inputs'!C160</f>
        <v>0</v>
      </c>
      <c r="V151" s="10">
        <f>IF(IF(EXACT("Free","Team"),IF('Model inputs'!V140="","",'Model inputs'!V140),IF('Model inputs'!V170="","",'Model inputs'!V170))="",0,IF(EXACT("Free","Team"),IF('Model inputs'!V140="","",'Model inputs'!V140),IF('Model inputs'!V170="","",'Model inputs'!V170)))*'Model inputs'!C160</f>
        <v>0</v>
      </c>
      <c r="W151" s="10">
        <f>IF(IF(EXACT("Free","Team"),IF('Model inputs'!W140="","",'Model inputs'!W140),IF('Model inputs'!W170="","",'Model inputs'!W170))="",0,IF(EXACT("Free","Team"),IF('Model inputs'!W140="","",'Model inputs'!W140),IF('Model inputs'!W170="","",'Model inputs'!W170)))*'Model inputs'!C160</f>
        <v>0</v>
      </c>
      <c r="X151" s="10">
        <f>IF('Model inputs'!X77="","",'Model inputs'!X77)</f>
        <v>0</v>
      </c>
    </row>
    <row r="152" outlineLevel="1">
      <c r="A152" t="inlineStr" s="22">
        <is>
          <t xml:space="preserve">Revenue &gt; Team</t>
        </is>
      </c>
      <c r="L152" s="10">
        <f>'Monthly forecast and cash'!B14</f>
        <v>0</v>
      </c>
      <c r="M152" s="10">
        <f>IF(IF(EXACT("Team","Team"),IF('Model inputs'!M140="","",'Model inputs'!M140),IF('Model inputs'!M170="","",'Model inputs'!M170))="",0,IF(EXACT("Team","Team"),IF('Model inputs'!M140="","",'Model inputs'!M140),IF('Model inputs'!M170="","",'Model inputs'!M170)))*'Model inputs'!C161</f>
        <v>2475</v>
      </c>
      <c r="N152" s="10">
        <f>IF(IF(EXACT("Team","Team"),IF('Model inputs'!N140="","",'Model inputs'!N140),IF('Model inputs'!N170="","",'Model inputs'!N170))="",0,IF(EXACT("Team","Team"),IF('Model inputs'!N140="","",'Model inputs'!N140),IF('Model inputs'!N170="","",'Model inputs'!N170)))*'Model inputs'!C161</f>
        <v>4950</v>
      </c>
      <c r="O152" s="10">
        <f>IF(IF(EXACT("Team","Team"),IF('Model inputs'!O140="","",'Model inputs'!O140),IF('Model inputs'!O170="","",'Model inputs'!O170))="",0,IF(EXACT("Team","Team"),IF('Model inputs'!O140="","",'Model inputs'!O140),IF('Model inputs'!O170="","",'Model inputs'!O170)))*'Model inputs'!C161</f>
        <v>7425</v>
      </c>
      <c r="P152" s="10">
        <f>IF(IF(EXACT("Team","Team"),IF('Model inputs'!P140="","",'Model inputs'!P140),IF('Model inputs'!P170="","",'Model inputs'!P170))="",0,IF(EXACT("Team","Team"),IF('Model inputs'!P140="","",'Model inputs'!P140),IF('Model inputs'!P170="","",'Model inputs'!P170)))*'Model inputs'!C161</f>
        <v>9900</v>
      </c>
      <c r="Q152" s="10">
        <f>IF(IF(EXACT("Team","Team"),IF('Model inputs'!Q140="","",'Model inputs'!Q140),IF('Model inputs'!Q170="","",'Model inputs'!Q170))="",0,IF(EXACT("Team","Team"),IF('Model inputs'!Q140="","",'Model inputs'!Q140),IF('Model inputs'!Q170="","",'Model inputs'!Q170)))*'Model inputs'!C161</f>
        <v>12375</v>
      </c>
      <c r="R152" s="10">
        <f>IF(IF(EXACT("Team","Team"),IF('Model inputs'!R140="","",'Model inputs'!R140),IF('Model inputs'!R170="","",'Model inputs'!R170))="",0,IF(EXACT("Team","Team"),IF('Model inputs'!R140="","",'Model inputs'!R140),IF('Model inputs'!R170="","",'Model inputs'!R170)))*'Model inputs'!C161</f>
        <v>14850</v>
      </c>
      <c r="S152" s="10">
        <f>IF(IF(EXACT("Team","Team"),IF('Model inputs'!S140="","",'Model inputs'!S140),IF('Model inputs'!S170="","",'Model inputs'!S170))="",0,IF(EXACT("Team","Team"),IF('Model inputs'!S140="","",'Model inputs'!S140),IF('Model inputs'!S170="","",'Model inputs'!S170)))*'Model inputs'!C161</f>
        <v>17325</v>
      </c>
      <c r="T152" s="10">
        <f>IF(IF(EXACT("Team","Team"),IF('Model inputs'!T140="","",'Model inputs'!T140),IF('Model inputs'!T170="","",'Model inputs'!T170))="",0,IF(EXACT("Team","Team"),IF('Model inputs'!T140="","",'Model inputs'!T140),IF('Model inputs'!T170="","",'Model inputs'!T170)))*'Model inputs'!C161</f>
        <v>19800</v>
      </c>
      <c r="U152" s="10">
        <f>IF(IF(EXACT("Team","Team"),IF('Model inputs'!U140="","",'Model inputs'!U140),IF('Model inputs'!U170="","",'Model inputs'!U170))="",0,IF(EXACT("Team","Team"),IF('Model inputs'!U140="","",'Model inputs'!U140),IF('Model inputs'!U170="","",'Model inputs'!U170)))*'Model inputs'!C161</f>
        <v>22275</v>
      </c>
      <c r="V152" s="10">
        <f>IF(IF(EXACT("Team","Team"),IF('Model inputs'!V140="","",'Model inputs'!V140),IF('Model inputs'!V170="","",'Model inputs'!V170))="",0,IF(EXACT("Team","Team"),IF('Model inputs'!V140="","",'Model inputs'!V140),IF('Model inputs'!V170="","",'Model inputs'!V170)))*'Model inputs'!C161</f>
        <v>24750</v>
      </c>
      <c r="W152" s="10">
        <f>IF(IF(EXACT("Team","Team"),IF('Model inputs'!W140="","",'Model inputs'!W140),IF('Model inputs'!W170="","",'Model inputs'!W170))="",0,IF(EXACT("Team","Team"),IF('Model inputs'!W140="","",'Model inputs'!W140),IF('Model inputs'!W170="","",'Model inputs'!W170)))*'Model inputs'!C161</f>
        <v>27225</v>
      </c>
      <c r="X152" s="10">
        <f>IF('Model inputs'!X78="","",'Model inputs'!X78)</f>
        <v>29700</v>
      </c>
    </row>
    <row r="153">
      <c r="A153" t="inlineStr" s="21">
        <is>
          <t xml:space="preserve">Revenue per repo</t>
        </is>
      </c>
      <c r="C153" s="13">
        <f>'Model inputs'!C217+MAX('Model inputs'!C187-'Model inputs'!C205,0)*'Model inputs'!C226</f>
        <v>0</v>
      </c>
    </row>
    <row r="154" outlineLevel="1">
      <c r="A154" t="inlineStr" s="22">
        <is>
          <t xml:space="preserve">Revenue per repo &gt; Free</t>
        </is>
      </c>
      <c r="C154" s="10">
        <f>'Model inputs'!C218+MAX('Model inputs'!C188-'Model inputs'!C206,0)*'Model inputs'!C227</f>
        <v>0</v>
      </c>
    </row>
    <row r="155" outlineLevel="1">
      <c r="A155" t="inlineStr" s="22">
        <is>
          <t xml:space="preserve">Revenue per repo &gt; Team</t>
        </is>
      </c>
      <c r="C155" s="10">
        <f>'Model inputs'!C219+MAX('Model inputs'!C189-'Model inputs'!C207,0)*'Model inputs'!C228</f>
        <v>99</v>
      </c>
    </row>
    <row r="156">
      <c r="A156" t="inlineStr" s="21">
        <is>
          <t xml:space="preserve">Revenue per repo</t>
        </is>
      </c>
      <c r="C156" s="13">
        <f>'Model inputs'!C220+MAX('Model inputs'!C190-'Model inputs'!C208,0)*'Model inputs'!C229</f>
        <v>0</v>
      </c>
    </row>
    <row r="157" outlineLevel="1">
      <c r="A157" t="inlineStr" s="22">
        <is>
          <t xml:space="preserve">Revenue per repo &gt; Free</t>
        </is>
      </c>
      <c r="C157" s="10">
        <f>'Model inputs'!C221+MAX('Model inputs'!C191-'Model inputs'!C209,0)*'Model inputs'!C230</f>
        <v>0</v>
      </c>
    </row>
    <row r="158" outlineLevel="1">
      <c r="A158" t="inlineStr" s="22">
        <is>
          <t xml:space="preserve">Revenue per repo &gt; Team</t>
        </is>
      </c>
      <c r="C158" s="10">
        <f>'Model inputs'!C222+MAX('Model inputs'!C192-'Model inputs'!C210,0)*'Model inputs'!C231</f>
        <v>99</v>
      </c>
    </row>
    <row r="159">
      <c r="A159" t="inlineStr" s="21">
        <is>
          <t xml:space="preserve">Revenue per repo</t>
        </is>
      </c>
      <c r="C159" s="13">
        <f>'Model inputs'!C223+MAX('Model inputs'!C193-'Model inputs'!C211,0)*'Model inputs'!C232</f>
        <v>0</v>
      </c>
    </row>
    <row r="160" outlineLevel="1">
      <c r="A160" t="inlineStr" s="22">
        <is>
          <t xml:space="preserve">Revenue per repo &gt; Free</t>
        </is>
      </c>
      <c r="C160" s="10">
        <f>'Model inputs'!C224+MAX('Model inputs'!C194-'Model inputs'!C212,0)*'Model inputs'!C233</f>
        <v>0</v>
      </c>
    </row>
    <row r="161" outlineLevel="1">
      <c r="A161" t="inlineStr" s="22">
        <is>
          <t xml:space="preserve">Revenue per repo &gt; Team</t>
        </is>
      </c>
      <c r="C161" s="10">
        <f>'Model inputs'!C225+MAX('Model inputs'!C195-'Model inputs'!C213,0)*'Model inputs'!C234</f>
        <v>99</v>
      </c>
    </row>
    <row r="162">
      <c r="A162" t="inlineStr" s="21">
        <is>
          <t xml:space="preserve">Starting cash · Cash balance · AgentBisect — 100 teams at month 12 · AgentBisect — 100 teams at month 12</t>
        </is>
      </c>
      <c r="C162" s="10">
        <f>'Editable assumptions'!B11</f>
        <v>25000</v>
      </c>
    </row>
    <row r="163">
      <c r="A163" t="inlineStr" s="21">
        <is>
          <t xml:space="preserve">Starting cash · Cash balance · AgentBisect — 20 teams at month 12 · AgentBisect — 20 teams at month 12</t>
        </is>
      </c>
      <c r="C163" s="10">
        <f>'Editable assumptions'!B11</f>
        <v>25000</v>
      </c>
    </row>
    <row r="164">
      <c r="A164" t="inlineStr" s="21">
        <is>
          <t xml:space="preserve">Starting cash · Cash balance · AgentBisect — 300 teams at month 12 · AgentBisect — 300 teams at month 12</t>
        </is>
      </c>
      <c r="C164" s="10">
        <f>'Editable assumptions'!B11</f>
        <v>25000</v>
      </c>
    </row>
    <row r="165">
      <c r="A165" t="inlineStr" s="21">
        <is>
          <t xml:space="preserve">Unpaid founder months · Founder pay · AgentBisect — 100 teams at month 12 · AgentBisect — 100 teams at month 12</t>
        </is>
      </c>
      <c r="C165" s="9">
        <f>'Editable assumptions'!B10</f>
        <v>6</v>
      </c>
    </row>
    <row r="166">
      <c r="A166" t="inlineStr" s="21">
        <is>
          <t xml:space="preserve">Unpaid founder months · Founder pay · AgentBisect — 20 teams at month 12 · AgentBisect — 20 teams at month 12</t>
        </is>
      </c>
      <c r="C166" s="9">
        <f>'Editable assumptions'!B10</f>
        <v>6</v>
      </c>
    </row>
    <row r="167">
      <c r="A167" t="inlineStr" s="21">
        <is>
          <t xml:space="preserve">Unpaid founder months · Founder pay · AgentBisect — 300 teams at month 12 · AgentBisect — 300 teams at month 12</t>
        </is>
      </c>
      <c r="C167" s="9">
        <f>'Editable assumptions'!B10</f>
        <v>6</v>
      </c>
    </row>
    <row r="168">
      <c r="A168" t="inlineStr" s="21">
        <is>
          <t xml:space="preserve">Active free repos · Revenue · AgentBisect — 100 teams at month 12 · AgentBisect — 100 teams at month 12</t>
        </is>
      </c>
      <c r="L168" s="9">
        <v>0</v>
      </c>
      <c r="M168" s="9">
        <f>IF('Model inputs'!C199="","",'Model inputs'!C199)</f>
        <v>50</v>
      </c>
      <c r="N168" s="9">
        <f>IF('Model inputs'!C199="","",'Model inputs'!C199)</f>
        <v>50</v>
      </c>
      <c r="O168" s="9">
        <f>IF('Model inputs'!C199="","",'Model inputs'!C199)</f>
        <v>50</v>
      </c>
      <c r="P168" s="9">
        <f>IF('Model inputs'!C199="","",'Model inputs'!C199)</f>
        <v>50</v>
      </c>
      <c r="Q168" s="9">
        <f>IF('Model inputs'!C199="","",'Model inputs'!C199)</f>
        <v>50</v>
      </c>
      <c r="R168" s="9">
        <f>IF('Model inputs'!C199="","",'Model inputs'!C199)</f>
        <v>50</v>
      </c>
      <c r="S168" s="9">
        <f>IF('Model inputs'!C199="","",'Model inputs'!C199)</f>
        <v>50</v>
      </c>
      <c r="T168" s="9">
        <f>IF('Model inputs'!C199="","",'Model inputs'!C199)</f>
        <v>50</v>
      </c>
      <c r="U168" s="9">
        <f>IF('Model inputs'!C199="","",'Model inputs'!C199)</f>
        <v>50</v>
      </c>
      <c r="V168" s="9">
        <f>IF('Model inputs'!C199="","",'Model inputs'!C199)</f>
        <v>50</v>
      </c>
      <c r="W168" s="9">
        <f>IF('Model inputs'!C199="","",'Model inputs'!C199)</f>
        <v>50</v>
      </c>
      <c r="X168" s="9">
        <f>IF('Model inputs'!C199="","",'Model inputs'!C199)</f>
        <v>50</v>
      </c>
    </row>
    <row r="169">
      <c r="A169" t="inlineStr" s="21">
        <is>
          <t xml:space="preserve">Active free repos · Revenue · AgentBisect — 20 teams at month 12 · AgentBisect — 20 teams at month 12</t>
        </is>
      </c>
      <c r="L169" s="9">
        <v>0</v>
      </c>
      <c r="M169" s="9">
        <f>IF('Model inputs'!C200="","",'Model inputs'!C200)</f>
        <v>50</v>
      </c>
      <c r="N169" s="9">
        <f>IF('Model inputs'!C200="","",'Model inputs'!C200)</f>
        <v>50</v>
      </c>
      <c r="O169" s="9">
        <f>IF('Model inputs'!C200="","",'Model inputs'!C200)</f>
        <v>50</v>
      </c>
      <c r="P169" s="9">
        <f>IF('Model inputs'!C200="","",'Model inputs'!C200)</f>
        <v>50</v>
      </c>
      <c r="Q169" s="9">
        <f>IF('Model inputs'!C200="","",'Model inputs'!C200)</f>
        <v>50</v>
      </c>
      <c r="R169" s="9">
        <f>IF('Model inputs'!C200="","",'Model inputs'!C200)</f>
        <v>50</v>
      </c>
      <c r="S169" s="9">
        <f>IF('Model inputs'!C200="","",'Model inputs'!C200)</f>
        <v>50</v>
      </c>
      <c r="T169" s="9">
        <f>IF('Model inputs'!C200="","",'Model inputs'!C200)</f>
        <v>50</v>
      </c>
      <c r="U169" s="9">
        <f>IF('Model inputs'!C200="","",'Model inputs'!C200)</f>
        <v>50</v>
      </c>
      <c r="V169" s="9">
        <f>IF('Model inputs'!C200="","",'Model inputs'!C200)</f>
        <v>50</v>
      </c>
      <c r="W169" s="9">
        <f>IF('Model inputs'!C200="","",'Model inputs'!C200)</f>
        <v>50</v>
      </c>
      <c r="X169" s="9">
        <f>IF('Model inputs'!C200="","",'Model inputs'!C200)</f>
        <v>50</v>
      </c>
    </row>
    <row r="170">
      <c r="A170" t="inlineStr" s="21">
        <is>
          <t xml:space="preserve">Active free repos · Revenue · AgentBisect — 300 teams at month 12 · AgentBisect — 300 teams at month 12</t>
        </is>
      </c>
      <c r="L170" s="9">
        <v>0</v>
      </c>
      <c r="M170" s="9">
        <f>IF('Model inputs'!C201="","",'Model inputs'!C201)</f>
        <v>50</v>
      </c>
      <c r="N170" s="9">
        <f>IF('Model inputs'!C201="","",'Model inputs'!C201)</f>
        <v>50</v>
      </c>
      <c r="O170" s="9">
        <f>IF('Model inputs'!C201="","",'Model inputs'!C201)</f>
        <v>50</v>
      </c>
      <c r="P170" s="9">
        <f>IF('Model inputs'!C201="","",'Model inputs'!C201)</f>
        <v>50</v>
      </c>
      <c r="Q170" s="9">
        <f>IF('Model inputs'!C201="","",'Model inputs'!C201)</f>
        <v>50</v>
      </c>
      <c r="R170" s="9">
        <f>IF('Model inputs'!C201="","",'Model inputs'!C201)</f>
        <v>50</v>
      </c>
      <c r="S170" s="9">
        <f>IF('Model inputs'!C201="","",'Model inputs'!C201)</f>
        <v>50</v>
      </c>
      <c r="T170" s="9">
        <f>IF('Model inputs'!C201="","",'Model inputs'!C201)</f>
        <v>50</v>
      </c>
      <c r="U170" s="9">
        <f>IF('Model inputs'!C201="","",'Model inputs'!C201)</f>
        <v>50</v>
      </c>
      <c r="V170" s="9">
        <f>IF('Model inputs'!C201="","",'Model inputs'!C201)</f>
        <v>50</v>
      </c>
      <c r="W170" s="9">
        <f>IF('Model inputs'!C201="","",'Model inputs'!C201)</f>
        <v>50</v>
      </c>
      <c r="X170" s="9">
        <f>IF('Model inputs'!C201="","",'Model inputs'!C201)</f>
        <v>50</v>
      </c>
    </row>
    <row r="171">
      <c r="A171" t="inlineStr" s="21">
        <is>
          <t xml:space="preserve">Included investigations</t>
        </is>
      </c>
      <c r="C171" s="12">
        <v>0</v>
      </c>
    </row>
    <row r="172" outlineLevel="1">
      <c r="A172" t="inlineStr" s="22">
        <is>
          <t xml:space="preserve">Included investigations &gt; Free</t>
        </is>
      </c>
      <c r="C172" s="9">
        <f>'Unit economics by plan'!C5</f>
        <v>10</v>
      </c>
    </row>
    <row r="173" outlineLevel="1">
      <c r="A173" t="inlineStr" s="22">
        <is>
          <t xml:space="preserve">Included investigations &gt; Team</t>
        </is>
      </c>
      <c r="C173" s="9">
        <f>'Unit economics by plan'!C6</f>
        <v>100</v>
      </c>
    </row>
    <row r="174">
      <c r="A174" t="inlineStr" s="21">
        <is>
          <t xml:space="preserve">Investigation unit cost · Contribution per repo · Monthly forecast and cash</t>
        </is>
      </c>
      <c r="C174" s="8">
        <f>'Model inputs'!B51+'Model inputs'!B16</f>
        <v>0.3</v>
      </c>
    </row>
    <row r="175">
      <c r="A175" t="inlineStr" s="21">
        <is>
          <t xml:space="preserve">Monthly price per repo</t>
        </is>
      </c>
      <c r="C175" s="13">
        <v>0</v>
      </c>
    </row>
    <row r="176" outlineLevel="1">
      <c r="A176" t="inlineStr" s="22">
        <is>
          <t xml:space="preserve">Monthly price per repo &gt; Free</t>
        </is>
      </c>
      <c r="C176" s="10">
        <f>'Unit economics by plan'!B5</f>
        <v>0</v>
      </c>
    </row>
    <row r="177" outlineLevel="1">
      <c r="A177" t="inlineStr" s="22">
        <is>
          <t xml:space="preserve">Monthly price per repo &gt; Team</t>
        </is>
      </c>
      <c r="C177" s="10">
        <f>'Unit economics by plan'!B6</f>
        <v>99</v>
      </c>
    </row>
    <row r="178">
      <c r="A178" t="inlineStr" s="21">
        <is>
          <t xml:space="preserve">Overage price</t>
        </is>
      </c>
      <c r="C178" s="6">
        <v>0</v>
      </c>
    </row>
    <row r="179" outlineLevel="1">
      <c r="A179" t="inlineStr" s="22">
        <is>
          <t xml:space="preserve">Overage price &gt; Free</t>
        </is>
      </c>
      <c r="C179" s="8">
        <f>'Unit economics by plan'!E5</f>
        <v>0</v>
      </c>
    </row>
    <row r="180" outlineLevel="1">
      <c r="A180" t="inlineStr" s="22">
        <is>
          <t xml:space="preserve">Overage price &gt; Team</t>
        </is>
      </c>
      <c r="C180" s="8">
        <f>'Unit economics by plan'!E6</f>
        <v>1</v>
      </c>
    </row>
    <row r="181">
      <c r="A181" t="inlineStr" s="21">
        <is>
          <t xml:space="preserve">Compute spend</t>
        </is>
      </c>
      <c r="D181" s="13">
        <f>SUM('Model inputs'!D182,'Model inputs'!D183)</f>
        <v>0</v>
      </c>
      <c r="E181" s="13">
        <f>SUM('Model inputs'!E182,'Model inputs'!E183)</f>
        <v>0</v>
      </c>
      <c r="F181" s="13">
        <f>SUM('Model inputs'!F182,'Model inputs'!F183)</f>
        <v>0</v>
      </c>
      <c r="G181" s="13">
        <f>SUM('Model inputs'!G182,'Model inputs'!G183)</f>
        <v>0</v>
      </c>
      <c r="H181" s="13">
        <f>SUM('Model inputs'!H182,'Model inputs'!H183)</f>
        <v>0</v>
      </c>
      <c r="I181" s="13">
        <f>SUM('Model inputs'!I182,'Model inputs'!I183)</f>
        <v>0</v>
      </c>
      <c r="J181" s="13">
        <f>SUM('Model inputs'!J182,'Model inputs'!J183)</f>
        <v>0</v>
      </c>
      <c r="K181" s="13">
        <f>SUM('Model inputs'!K182,'Model inputs'!K183)</f>
        <v>0</v>
      </c>
      <c r="L181" s="13">
        <f>IF('Model inputs'!L106="","",'Model inputs'!L106)</f>
        <v>0</v>
      </c>
      <c r="M181" s="13">
        <f>IF('Model inputs'!M106="","",'Model inputs'!M106)</f>
        <v>40</v>
      </c>
      <c r="N181" s="13">
        <f>IF('Model inputs'!N106="","",'Model inputs'!N106)</f>
        <v>55</v>
      </c>
      <c r="O181" s="13">
        <f>IF('Model inputs'!O106="","",'Model inputs'!O106)</f>
        <v>70</v>
      </c>
      <c r="P181" s="13">
        <f>IF('Model inputs'!P106="","",'Model inputs'!P106)</f>
        <v>85</v>
      </c>
      <c r="Q181" s="13">
        <f>IF('Model inputs'!Q106="","",'Model inputs'!Q106)</f>
        <v>100</v>
      </c>
      <c r="R181" s="13">
        <f>IF('Model inputs'!R106="","",'Model inputs'!R106)</f>
        <v>115</v>
      </c>
      <c r="S181" s="13">
        <f>IF('Model inputs'!S106="","",'Model inputs'!S106)</f>
        <v>130</v>
      </c>
      <c r="T181" s="13">
        <f>IF('Model inputs'!T106="","",'Model inputs'!T106)</f>
        <v>145</v>
      </c>
      <c r="U181" s="13">
        <f>IF('Model inputs'!U106="","",'Model inputs'!U106)</f>
        <v>160</v>
      </c>
      <c r="V181" s="13">
        <f>IF('Model inputs'!V106="","",'Model inputs'!V106)</f>
        <v>175</v>
      </c>
      <c r="W181" s="13">
        <f>IF('Model inputs'!W106="","",'Model inputs'!W106)</f>
        <v>190</v>
      </c>
      <c r="X181" s="13">
        <f>IF('Model inputs'!X106="","",'Model inputs'!X106)</f>
        <v>205</v>
      </c>
      <c r="Y181" s="13">
        <f>IF('Model inputs'!Y106="","",'Model inputs'!Y106)</f>
        <v>220</v>
      </c>
      <c r="Z181" s="13">
        <f>IF('Model inputs'!Z106="","",'Model inputs'!Z106)</f>
        <v>235</v>
      </c>
      <c r="AA181" s="13">
        <f>IF('Model inputs'!AA106="","",'Model inputs'!AA106)</f>
        <v>250</v>
      </c>
      <c r="AB181" s="13">
        <f>IF('Model inputs'!AB106="","",'Model inputs'!AB106)</f>
        <v>265</v>
      </c>
      <c r="AC181" s="13">
        <f>IF('Model inputs'!AC106="","",'Model inputs'!AC106)</f>
        <v>280</v>
      </c>
      <c r="AD181" s="13">
        <f>IF('Model inputs'!AD106="","",'Model inputs'!AD106)</f>
        <v>295</v>
      </c>
      <c r="AE181" s="13">
        <f>IF('Model inputs'!AE106="","",'Model inputs'!AE106)</f>
        <v>310</v>
      </c>
      <c r="AF181" s="13">
        <f>IF('Model inputs'!AF106="","",'Model inputs'!AF106)</f>
        <v>325</v>
      </c>
      <c r="AG181" s="13">
        <f>IF('Model inputs'!AG106="","",'Model inputs'!AG106)</f>
        <v>340</v>
      </c>
      <c r="AH181" s="13">
        <f>IF('Model inputs'!AH106="","",'Model inputs'!AH106)</f>
        <v>355</v>
      </c>
      <c r="AI181" s="13">
        <f>IF('Model inputs'!AI106="","",'Model inputs'!AI106)</f>
        <v>370</v>
      </c>
      <c r="AJ181" s="13">
        <f>IF('Model inputs'!AJ106="","",'Model inputs'!AJ106)</f>
        <v>385</v>
      </c>
    </row>
    <row r="182" outlineLevel="1">
      <c r="A182" t="inlineStr" s="22">
        <is>
          <t xml:space="preserve">Compute spend &gt; Free</t>
        </is>
      </c>
      <c r="D182" s="10">
        <f>0</f>
        <v>0</v>
      </c>
      <c r="E182" s="10">
        <f>0</f>
        <v>0</v>
      </c>
      <c r="F182" s="10">
        <f>0</f>
        <v>0</v>
      </c>
      <c r="G182" s="10">
        <f>0</f>
        <v>0</v>
      </c>
      <c r="H182" s="10">
        <f>0</f>
        <v>0</v>
      </c>
      <c r="I182" s="10">
        <f>0</f>
        <v>0</v>
      </c>
      <c r="J182" s="10">
        <f>0</f>
        <v>0</v>
      </c>
      <c r="K182" s="10">
        <f>0</f>
        <v>0</v>
      </c>
      <c r="L182" s="10">
        <f>IF('Model inputs'!L107="","",'Model inputs'!L107)</f>
        <v>0</v>
      </c>
      <c r="M182" s="10">
        <f>IF('Model inputs'!M107="","",'Model inputs'!M107)</f>
        <v>25</v>
      </c>
      <c r="N182" s="10">
        <f>IF('Model inputs'!N107="","",'Model inputs'!N107)</f>
        <v>25</v>
      </c>
      <c r="O182" s="10">
        <f>IF('Model inputs'!O107="","",'Model inputs'!O107)</f>
        <v>25</v>
      </c>
      <c r="P182" s="10">
        <f>IF('Model inputs'!P107="","",'Model inputs'!P107)</f>
        <v>25</v>
      </c>
      <c r="Q182" s="10">
        <f>IF('Model inputs'!Q107="","",'Model inputs'!Q107)</f>
        <v>25</v>
      </c>
      <c r="R182" s="10">
        <f>IF('Model inputs'!R107="","",'Model inputs'!R107)</f>
        <v>25</v>
      </c>
      <c r="S182" s="10">
        <f>IF('Model inputs'!S107="","",'Model inputs'!S107)</f>
        <v>25</v>
      </c>
      <c r="T182" s="10">
        <f>IF('Model inputs'!T107="","",'Model inputs'!T107)</f>
        <v>25</v>
      </c>
      <c r="U182" s="10">
        <f>IF('Model inputs'!U107="","",'Model inputs'!U107)</f>
        <v>25</v>
      </c>
      <c r="V182" s="10">
        <f>IF('Model inputs'!V107="","",'Model inputs'!V107)</f>
        <v>25</v>
      </c>
      <c r="W182" s="10">
        <f>IF('Model inputs'!W107="","",'Model inputs'!W107)</f>
        <v>25</v>
      </c>
      <c r="X182" s="10">
        <f>IF('Model inputs'!X107="","",'Model inputs'!X107)</f>
        <v>25</v>
      </c>
      <c r="Y182" s="10">
        <f>IF('Model inputs'!Y107="","",'Model inputs'!Y107)</f>
        <v>25</v>
      </c>
      <c r="Z182" s="10">
        <f>IF('Model inputs'!Z107="","",'Model inputs'!Z107)</f>
        <v>25</v>
      </c>
      <c r="AA182" s="10">
        <f>IF('Model inputs'!AA107="","",'Model inputs'!AA107)</f>
        <v>25</v>
      </c>
      <c r="AB182" s="10">
        <f>IF('Model inputs'!AB107="","",'Model inputs'!AB107)</f>
        <v>25</v>
      </c>
      <c r="AC182" s="10">
        <f>IF('Model inputs'!AC107="","",'Model inputs'!AC107)</f>
        <v>25</v>
      </c>
      <c r="AD182" s="10">
        <f>IF('Model inputs'!AD107="","",'Model inputs'!AD107)</f>
        <v>25</v>
      </c>
      <c r="AE182" s="10">
        <f>IF('Model inputs'!AE107="","",'Model inputs'!AE107)</f>
        <v>25</v>
      </c>
      <c r="AF182" s="10">
        <f>IF('Model inputs'!AF107="","",'Model inputs'!AF107)</f>
        <v>25</v>
      </c>
      <c r="AG182" s="10">
        <f>IF('Model inputs'!AG107="","",'Model inputs'!AG107)</f>
        <v>25</v>
      </c>
      <c r="AH182" s="10">
        <f>IF('Model inputs'!AH107="","",'Model inputs'!AH107)</f>
        <v>25</v>
      </c>
      <c r="AI182" s="10">
        <f>IF('Model inputs'!AI107="","",'Model inputs'!AI107)</f>
        <v>25</v>
      </c>
      <c r="AJ182" s="10">
        <f>IF('Model inputs'!AJ107="","",'Model inputs'!AJ107)</f>
        <v>25</v>
      </c>
    </row>
    <row r="183" outlineLevel="1">
      <c r="A183" t="inlineStr" s="22">
        <is>
          <t xml:space="preserve">Compute spend &gt; Team</t>
        </is>
      </c>
      <c r="D183" s="10">
        <f>0</f>
        <v>0</v>
      </c>
      <c r="E183" s="10">
        <f>0</f>
        <v>0</v>
      </c>
      <c r="F183" s="10">
        <f>0</f>
        <v>0</v>
      </c>
      <c r="G183" s="10">
        <f>0</f>
        <v>0</v>
      </c>
      <c r="H183" s="10">
        <f>0</f>
        <v>0</v>
      </c>
      <c r="I183" s="10">
        <f>0</f>
        <v>0</v>
      </c>
      <c r="J183" s="10">
        <f>0</f>
        <v>0</v>
      </c>
      <c r="K183" s="10">
        <f>0</f>
        <v>0</v>
      </c>
      <c r="L183" s="10">
        <f>IF('Model inputs'!L108="","",'Model inputs'!L108)</f>
        <v>0</v>
      </c>
      <c r="M183" s="10">
        <f>IF('Model inputs'!M108="","",'Model inputs'!M108)</f>
        <v>15</v>
      </c>
      <c r="N183" s="10">
        <f>IF('Model inputs'!N108="","",'Model inputs'!N108)</f>
        <v>30</v>
      </c>
      <c r="O183" s="10">
        <f>IF('Model inputs'!O108="","",'Model inputs'!O108)</f>
        <v>45</v>
      </c>
      <c r="P183" s="10">
        <f>IF('Model inputs'!P108="","",'Model inputs'!P108)</f>
        <v>60</v>
      </c>
      <c r="Q183" s="10">
        <f>IF('Model inputs'!Q108="","",'Model inputs'!Q108)</f>
        <v>75</v>
      </c>
      <c r="R183" s="10">
        <f>IF('Model inputs'!R108="","",'Model inputs'!R108)</f>
        <v>90</v>
      </c>
      <c r="S183" s="10">
        <f>IF('Model inputs'!S108="","",'Model inputs'!S108)</f>
        <v>105</v>
      </c>
      <c r="T183" s="10">
        <f>IF('Model inputs'!T108="","",'Model inputs'!T108)</f>
        <v>120</v>
      </c>
      <c r="U183" s="10">
        <f>IF('Model inputs'!U108="","",'Model inputs'!U108)</f>
        <v>135</v>
      </c>
      <c r="V183" s="10">
        <f>IF('Model inputs'!V108="","",'Model inputs'!V108)</f>
        <v>150</v>
      </c>
      <c r="W183" s="10">
        <f>IF('Model inputs'!W108="","",'Model inputs'!W108)</f>
        <v>165</v>
      </c>
      <c r="X183" s="10">
        <f>IF('Model inputs'!X108="","",'Model inputs'!X108)</f>
        <v>180</v>
      </c>
      <c r="Y183" s="10">
        <f>IF('Model inputs'!Y108="","",'Model inputs'!Y108)</f>
        <v>195</v>
      </c>
      <c r="Z183" s="10">
        <f>IF('Model inputs'!Z108="","",'Model inputs'!Z108)</f>
        <v>210</v>
      </c>
      <c r="AA183" s="10">
        <f>IF('Model inputs'!AA108="","",'Model inputs'!AA108)</f>
        <v>225</v>
      </c>
      <c r="AB183" s="10">
        <f>IF('Model inputs'!AB108="","",'Model inputs'!AB108)</f>
        <v>240</v>
      </c>
      <c r="AC183" s="10">
        <f>IF('Model inputs'!AC108="","",'Model inputs'!AC108)</f>
        <v>255</v>
      </c>
      <c r="AD183" s="10">
        <f>IF('Model inputs'!AD108="","",'Model inputs'!AD108)</f>
        <v>270</v>
      </c>
      <c r="AE183" s="10">
        <f>IF('Model inputs'!AE108="","",'Model inputs'!AE108)</f>
        <v>285</v>
      </c>
      <c r="AF183" s="10">
        <f>IF('Model inputs'!AF108="","",'Model inputs'!AF108)</f>
        <v>300</v>
      </c>
      <c r="AG183" s="10">
        <f>IF('Model inputs'!AG108="","",'Model inputs'!AG108)</f>
        <v>315</v>
      </c>
      <c r="AH183" s="10">
        <f>IF('Model inputs'!AH108="","",'Model inputs'!AH108)</f>
        <v>330</v>
      </c>
      <c r="AI183" s="10">
        <f>IF('Model inputs'!AI108="","",'Model inputs'!AI108)</f>
        <v>345</v>
      </c>
      <c r="AJ183" s="10">
        <f>IF('Model inputs'!AJ108="","",'Model inputs'!AJ108)</f>
        <v>360</v>
      </c>
    </row>
    <row r="184">
      <c r="A184" t="inlineStr" s="21">
        <is>
          <t xml:space="preserve">Model spend</t>
        </is>
      </c>
      <c r="D184" s="13">
        <f>SUM('Model inputs'!D185,'Model inputs'!D186)</f>
        <v>0</v>
      </c>
      <c r="E184" s="13">
        <f>SUM('Model inputs'!E185,'Model inputs'!E186)</f>
        <v>0</v>
      </c>
      <c r="F184" s="13">
        <f>SUM('Model inputs'!F185,'Model inputs'!F186)</f>
        <v>0</v>
      </c>
      <c r="G184" s="13">
        <f>SUM('Model inputs'!G185,'Model inputs'!G186)</f>
        <v>0</v>
      </c>
      <c r="H184" s="13">
        <f>SUM('Model inputs'!H185,'Model inputs'!H186)</f>
        <v>0</v>
      </c>
      <c r="I184" s="13">
        <f>SUM('Model inputs'!I185,'Model inputs'!I186)</f>
        <v>0</v>
      </c>
      <c r="J184" s="13">
        <f>SUM('Model inputs'!J185,'Model inputs'!J186)</f>
        <v>0</v>
      </c>
      <c r="K184" s="13">
        <f>SUM('Model inputs'!K185,'Model inputs'!K186)</f>
        <v>0</v>
      </c>
      <c r="L184" s="13">
        <f>IF('Model inputs'!L110="","",'Model inputs'!L110)</f>
        <v>0</v>
      </c>
      <c r="M184" s="13">
        <f>IF('Model inputs'!M110="","",'Model inputs'!M110)</f>
        <v>200</v>
      </c>
      <c r="N184" s="13">
        <f>IF('Model inputs'!N110="","",'Model inputs'!N110)</f>
        <v>275</v>
      </c>
      <c r="O184" s="13">
        <f>IF('Model inputs'!O110="","",'Model inputs'!O110)</f>
        <v>350</v>
      </c>
      <c r="P184" s="13">
        <f>IF('Model inputs'!P110="","",'Model inputs'!P110)</f>
        <v>425</v>
      </c>
      <c r="Q184" s="13">
        <f>IF('Model inputs'!Q110="","",'Model inputs'!Q110)</f>
        <v>500</v>
      </c>
      <c r="R184" s="13">
        <f>IF('Model inputs'!R110="","",'Model inputs'!R110)</f>
        <v>575</v>
      </c>
      <c r="S184" s="13">
        <f>IF('Model inputs'!S110="","",'Model inputs'!S110)</f>
        <v>650</v>
      </c>
      <c r="T184" s="13">
        <f>IF('Model inputs'!T110="","",'Model inputs'!T110)</f>
        <v>725</v>
      </c>
      <c r="U184" s="13">
        <f>IF('Model inputs'!U110="","",'Model inputs'!U110)</f>
        <v>800</v>
      </c>
      <c r="V184" s="13">
        <f>IF('Model inputs'!V110="","",'Model inputs'!V110)</f>
        <v>875</v>
      </c>
      <c r="W184" s="13">
        <f>IF('Model inputs'!W110="","",'Model inputs'!W110)</f>
        <v>950</v>
      </c>
      <c r="X184" s="13">
        <f>IF('Model inputs'!X110="","",'Model inputs'!X110)</f>
        <v>1025</v>
      </c>
      <c r="Y184" s="13">
        <f>IF('Model inputs'!Y110="","",'Model inputs'!Y110)</f>
        <v>1100</v>
      </c>
      <c r="Z184" s="13">
        <f>IF('Model inputs'!Z110="","",'Model inputs'!Z110)</f>
        <v>1175</v>
      </c>
      <c r="AA184" s="13">
        <f>IF('Model inputs'!AA110="","",'Model inputs'!AA110)</f>
        <v>1250</v>
      </c>
      <c r="AB184" s="13">
        <f>IF('Model inputs'!AB110="","",'Model inputs'!AB110)</f>
        <v>1325</v>
      </c>
      <c r="AC184" s="13">
        <f>IF('Model inputs'!AC110="","",'Model inputs'!AC110)</f>
        <v>1400</v>
      </c>
      <c r="AD184" s="13">
        <f>IF('Model inputs'!AD110="","",'Model inputs'!AD110)</f>
        <v>1475</v>
      </c>
      <c r="AE184" s="13">
        <f>IF('Model inputs'!AE110="","",'Model inputs'!AE110)</f>
        <v>1550</v>
      </c>
      <c r="AF184" s="13">
        <f>IF('Model inputs'!AF110="","",'Model inputs'!AF110)</f>
        <v>1625</v>
      </c>
      <c r="AG184" s="13">
        <f>IF('Model inputs'!AG110="","",'Model inputs'!AG110)</f>
        <v>1700</v>
      </c>
      <c r="AH184" s="13">
        <f>IF('Model inputs'!AH110="","",'Model inputs'!AH110)</f>
        <v>1775</v>
      </c>
      <c r="AI184" s="13">
        <f>IF('Model inputs'!AI110="","",'Model inputs'!AI110)</f>
        <v>1850</v>
      </c>
      <c r="AJ184" s="13">
        <f>IF('Model inputs'!AJ110="","",'Model inputs'!AJ110)</f>
        <v>1925</v>
      </c>
    </row>
    <row r="185" outlineLevel="1">
      <c r="A185" t="inlineStr" s="22">
        <is>
          <t xml:space="preserve">Model spend &gt; Free</t>
        </is>
      </c>
      <c r="D185" s="10">
        <f>0</f>
        <v>0</v>
      </c>
      <c r="E185" s="10">
        <f>0</f>
        <v>0</v>
      </c>
      <c r="F185" s="10">
        <f>0</f>
        <v>0</v>
      </c>
      <c r="G185" s="10">
        <f>0</f>
        <v>0</v>
      </c>
      <c r="H185" s="10">
        <f>0</f>
        <v>0</v>
      </c>
      <c r="I185" s="10">
        <f>0</f>
        <v>0</v>
      </c>
      <c r="J185" s="10">
        <f>0</f>
        <v>0</v>
      </c>
      <c r="K185" s="10">
        <f>0</f>
        <v>0</v>
      </c>
      <c r="L185" s="10">
        <f>IF('Model inputs'!L111="","",'Model inputs'!L111)</f>
        <v>0</v>
      </c>
      <c r="M185" s="10">
        <f>IF('Model inputs'!M111="","",'Model inputs'!M111)</f>
        <v>125</v>
      </c>
      <c r="N185" s="10">
        <f>IF('Model inputs'!N111="","",'Model inputs'!N111)</f>
        <v>125</v>
      </c>
      <c r="O185" s="10">
        <f>IF('Model inputs'!O111="","",'Model inputs'!O111)</f>
        <v>125</v>
      </c>
      <c r="P185" s="10">
        <f>IF('Model inputs'!P111="","",'Model inputs'!P111)</f>
        <v>125</v>
      </c>
      <c r="Q185" s="10">
        <f>IF('Model inputs'!Q111="","",'Model inputs'!Q111)</f>
        <v>125</v>
      </c>
      <c r="R185" s="10">
        <f>IF('Model inputs'!R111="","",'Model inputs'!R111)</f>
        <v>125</v>
      </c>
      <c r="S185" s="10">
        <f>IF('Model inputs'!S111="","",'Model inputs'!S111)</f>
        <v>125</v>
      </c>
      <c r="T185" s="10">
        <f>IF('Model inputs'!T111="","",'Model inputs'!T111)</f>
        <v>125</v>
      </c>
      <c r="U185" s="10">
        <f>IF('Model inputs'!U111="","",'Model inputs'!U111)</f>
        <v>125</v>
      </c>
      <c r="V185" s="10">
        <f>IF('Model inputs'!V111="","",'Model inputs'!V111)</f>
        <v>125</v>
      </c>
      <c r="W185" s="10">
        <f>IF('Model inputs'!W111="","",'Model inputs'!W111)</f>
        <v>125</v>
      </c>
      <c r="X185" s="10">
        <f>IF('Model inputs'!X111="","",'Model inputs'!X111)</f>
        <v>125</v>
      </c>
      <c r="Y185" s="10">
        <f>IF('Model inputs'!Y111="","",'Model inputs'!Y111)</f>
        <v>125</v>
      </c>
      <c r="Z185" s="10">
        <f>IF('Model inputs'!Z111="","",'Model inputs'!Z111)</f>
        <v>125</v>
      </c>
      <c r="AA185" s="10">
        <f>IF('Model inputs'!AA111="","",'Model inputs'!AA111)</f>
        <v>125</v>
      </c>
      <c r="AB185" s="10">
        <f>IF('Model inputs'!AB111="","",'Model inputs'!AB111)</f>
        <v>125</v>
      </c>
      <c r="AC185" s="10">
        <f>IF('Model inputs'!AC111="","",'Model inputs'!AC111)</f>
        <v>125</v>
      </c>
      <c r="AD185" s="10">
        <f>IF('Model inputs'!AD111="","",'Model inputs'!AD111)</f>
        <v>125</v>
      </c>
      <c r="AE185" s="10">
        <f>IF('Model inputs'!AE111="","",'Model inputs'!AE111)</f>
        <v>125</v>
      </c>
      <c r="AF185" s="10">
        <f>IF('Model inputs'!AF111="","",'Model inputs'!AF111)</f>
        <v>125</v>
      </c>
      <c r="AG185" s="10">
        <f>IF('Model inputs'!AG111="","",'Model inputs'!AG111)</f>
        <v>125</v>
      </c>
      <c r="AH185" s="10">
        <f>IF('Model inputs'!AH111="","",'Model inputs'!AH111)</f>
        <v>125</v>
      </c>
      <c r="AI185" s="10">
        <f>IF('Model inputs'!AI111="","",'Model inputs'!AI111)</f>
        <v>125</v>
      </c>
      <c r="AJ185" s="10">
        <f>IF('Model inputs'!AJ111="","",'Model inputs'!AJ111)</f>
        <v>125</v>
      </c>
    </row>
    <row r="186" outlineLevel="1">
      <c r="A186" t="inlineStr" s="22">
        <is>
          <t xml:space="preserve">Model spend &gt; Team</t>
        </is>
      </c>
      <c r="D186" s="10">
        <f>0</f>
        <v>0</v>
      </c>
      <c r="E186" s="10">
        <f>0</f>
        <v>0</v>
      </c>
      <c r="F186" s="10">
        <f>0</f>
        <v>0</v>
      </c>
      <c r="G186" s="10">
        <f>0</f>
        <v>0</v>
      </c>
      <c r="H186" s="10">
        <f>0</f>
        <v>0</v>
      </c>
      <c r="I186" s="10">
        <f>0</f>
        <v>0</v>
      </c>
      <c r="J186" s="10">
        <f>0</f>
        <v>0</v>
      </c>
      <c r="K186" s="10">
        <f>0</f>
        <v>0</v>
      </c>
      <c r="L186" s="10">
        <f>IF('Model inputs'!L112="","",'Model inputs'!L112)</f>
        <v>0</v>
      </c>
      <c r="M186" s="10">
        <f>IF('Model inputs'!M112="","",'Model inputs'!M112)</f>
        <v>75</v>
      </c>
      <c r="N186" s="10">
        <f>IF('Model inputs'!N112="","",'Model inputs'!N112)</f>
        <v>150</v>
      </c>
      <c r="O186" s="10">
        <f>IF('Model inputs'!O112="","",'Model inputs'!O112)</f>
        <v>225</v>
      </c>
      <c r="P186" s="10">
        <f>IF('Model inputs'!P112="","",'Model inputs'!P112)</f>
        <v>300</v>
      </c>
      <c r="Q186" s="10">
        <f>IF('Model inputs'!Q112="","",'Model inputs'!Q112)</f>
        <v>375</v>
      </c>
      <c r="R186" s="10">
        <f>IF('Model inputs'!R112="","",'Model inputs'!R112)</f>
        <v>450</v>
      </c>
      <c r="S186" s="10">
        <f>IF('Model inputs'!S112="","",'Model inputs'!S112)</f>
        <v>525</v>
      </c>
      <c r="T186" s="10">
        <f>IF('Model inputs'!T112="","",'Model inputs'!T112)</f>
        <v>600</v>
      </c>
      <c r="U186" s="10">
        <f>IF('Model inputs'!U112="","",'Model inputs'!U112)</f>
        <v>675</v>
      </c>
      <c r="V186" s="10">
        <f>IF('Model inputs'!V112="","",'Model inputs'!V112)</f>
        <v>750</v>
      </c>
      <c r="W186" s="10">
        <f>IF('Model inputs'!W112="","",'Model inputs'!W112)</f>
        <v>825</v>
      </c>
      <c r="X186" s="10">
        <f>IF('Model inputs'!X112="","",'Model inputs'!X112)</f>
        <v>900</v>
      </c>
      <c r="Y186" s="10">
        <f>IF('Model inputs'!Y112="","",'Model inputs'!Y112)</f>
        <v>975</v>
      </c>
      <c r="Z186" s="10">
        <f>IF('Model inputs'!Z112="","",'Model inputs'!Z112)</f>
        <v>1050</v>
      </c>
      <c r="AA186" s="10">
        <f>IF('Model inputs'!AA112="","",'Model inputs'!AA112)</f>
        <v>1125</v>
      </c>
      <c r="AB186" s="10">
        <f>IF('Model inputs'!AB112="","",'Model inputs'!AB112)</f>
        <v>1200</v>
      </c>
      <c r="AC186" s="10">
        <f>IF('Model inputs'!AC112="","",'Model inputs'!AC112)</f>
        <v>1275</v>
      </c>
      <c r="AD186" s="10">
        <f>IF('Model inputs'!AD112="","",'Model inputs'!AD112)</f>
        <v>1350</v>
      </c>
      <c r="AE186" s="10">
        <f>IF('Model inputs'!AE112="","",'Model inputs'!AE112)</f>
        <v>1425</v>
      </c>
      <c r="AF186" s="10">
        <f>IF('Model inputs'!AF112="","",'Model inputs'!AF112)</f>
        <v>1500</v>
      </c>
      <c r="AG186" s="10">
        <f>IF('Model inputs'!AG112="","",'Model inputs'!AG112)</f>
        <v>1575</v>
      </c>
      <c r="AH186" s="10">
        <f>IF('Model inputs'!AH112="","",'Model inputs'!AH112)</f>
        <v>1650</v>
      </c>
      <c r="AI186" s="10">
        <f>IF('Model inputs'!AI112="","",'Model inputs'!AI112)</f>
        <v>1725</v>
      </c>
      <c r="AJ186" s="10">
        <f>IF('Model inputs'!AJ112="","",'Model inputs'!AJ112)</f>
        <v>1800</v>
      </c>
    </row>
    <row r="187">
      <c r="A187" t="inlineStr" s="21">
        <is>
          <t xml:space="preserve">Average investigations</t>
        </is>
      </c>
      <c r="C187" s="12">
        <v>0</v>
      </c>
    </row>
    <row r="188" outlineLevel="1">
      <c r="A188" t="inlineStr" s="22">
        <is>
          <t xml:space="preserve">Average investigations &gt; Free</t>
        </is>
      </c>
      <c r="C188" s="9">
        <f>'Unit economics by plan'!D5</f>
        <v>10</v>
      </c>
    </row>
    <row r="189" outlineLevel="1">
      <c r="A189" t="inlineStr" s="22">
        <is>
          <t xml:space="preserve">Average investigations &gt; Team</t>
        </is>
      </c>
      <c r="C189" s="9">
        <f>'Unit economics by plan'!D6</f>
        <v>60</v>
      </c>
    </row>
    <row r="190">
      <c r="A190" t="inlineStr" s="21">
        <is>
          <t xml:space="preserve">Average investigations</t>
        </is>
      </c>
      <c r="C190" s="12">
        <v>0</v>
      </c>
    </row>
    <row r="191" outlineLevel="1">
      <c r="A191" t="inlineStr" s="22">
        <is>
          <t xml:space="preserve">Average investigations &gt; Free</t>
        </is>
      </c>
      <c r="C191" s="9">
        <f>'Unit economics by plan'!D5</f>
        <v>10</v>
      </c>
    </row>
    <row r="192" outlineLevel="1">
      <c r="A192" t="inlineStr" s="22">
        <is>
          <t xml:space="preserve">Average investigations &gt; Team</t>
        </is>
      </c>
      <c r="C192" s="9">
        <f>'Unit economics by plan'!D6</f>
        <v>60</v>
      </c>
    </row>
    <row r="193">
      <c r="A193" t="inlineStr" s="21">
        <is>
          <t xml:space="preserve">Average investigations</t>
        </is>
      </c>
      <c r="C193" s="12">
        <v>0</v>
      </c>
    </row>
    <row r="194" outlineLevel="1">
      <c r="A194" t="inlineStr" s="22">
        <is>
          <t xml:space="preserve">Average investigations &gt; Free</t>
        </is>
      </c>
      <c r="C194" s="9">
        <f>'Unit economics by plan'!D5</f>
        <v>10</v>
      </c>
    </row>
    <row r="195" outlineLevel="1">
      <c r="A195" t="inlineStr" s="22">
        <is>
          <t xml:space="preserve">Average investigations &gt; Team</t>
        </is>
      </c>
      <c r="C195" s="9">
        <f>'Unit economics by plan'!D6</f>
        <v>60</v>
      </c>
    </row>
    <row r="196">
      <c r="A196" t="inlineStr" s="21">
        <is>
          <t xml:space="preserve">Compute spend · AgentBisect — 100 teams at month 12</t>
        </is>
      </c>
      <c r="L196" s="10">
        <f>SUM('Model inputs'!L239,'Model inputs'!L240)</f>
        <v>0</v>
      </c>
      <c r="M196" s="10">
        <f>SUM('Model inputs'!M239,'Model inputs'!M240)</f>
        <v>49</v>
      </c>
      <c r="N196" s="10">
        <f>SUM('Model inputs'!N239,'Model inputs'!N240)</f>
        <v>76</v>
      </c>
      <c r="O196" s="10">
        <f>SUM('Model inputs'!O239,'Model inputs'!O240)</f>
        <v>100</v>
      </c>
      <c r="P196" s="10">
        <f>SUM('Model inputs'!P239,'Model inputs'!P240)</f>
        <v>124</v>
      </c>
      <c r="Q196" s="10">
        <f>SUM('Model inputs'!Q239,'Model inputs'!Q240)</f>
        <v>151</v>
      </c>
      <c r="R196" s="10">
        <f>SUM('Model inputs'!R239,'Model inputs'!R240)</f>
        <v>175</v>
      </c>
      <c r="S196" s="10">
        <f>SUM('Model inputs'!S239,'Model inputs'!S240)</f>
        <v>199</v>
      </c>
      <c r="T196" s="10">
        <f>SUM('Model inputs'!T239,'Model inputs'!T240)</f>
        <v>226</v>
      </c>
      <c r="U196" s="10">
        <f>SUM('Model inputs'!U239,'Model inputs'!U240)</f>
        <v>250</v>
      </c>
      <c r="V196" s="10">
        <f>SUM('Model inputs'!V239,'Model inputs'!V240)</f>
        <v>274</v>
      </c>
      <c r="W196" s="10">
        <f>SUM('Model inputs'!W239,'Model inputs'!W240)</f>
        <v>301</v>
      </c>
      <c r="X196" s="10">
        <f>SUM('Model inputs'!X239,'Model inputs'!X240)</f>
        <v>325</v>
      </c>
    </row>
    <row r="197">
      <c r="A197" t="inlineStr" s="21">
        <is>
          <t xml:space="preserve">Compute spend · AgentBisect — 20 teams at month 12</t>
        </is>
      </c>
      <c r="L197" s="10">
        <f>SUM('Model inputs'!L242,'Model inputs'!L243)</f>
        <v>0</v>
      </c>
      <c r="M197" s="10">
        <f>SUM('Model inputs'!M242,'Model inputs'!M243)</f>
        <v>31</v>
      </c>
      <c r="N197" s="10">
        <f>SUM('Model inputs'!N242,'Model inputs'!N243)</f>
        <v>34</v>
      </c>
      <c r="O197" s="10">
        <f>SUM('Model inputs'!O242,'Model inputs'!O243)</f>
        <v>40</v>
      </c>
      <c r="P197" s="10">
        <f>SUM('Model inputs'!P242,'Model inputs'!P243)</f>
        <v>46</v>
      </c>
      <c r="Q197" s="10">
        <f>SUM('Model inputs'!Q242,'Model inputs'!Q243)</f>
        <v>49</v>
      </c>
      <c r="R197" s="10">
        <f>SUM('Model inputs'!R242,'Model inputs'!R243)</f>
        <v>55</v>
      </c>
      <c r="S197" s="10">
        <f>SUM('Model inputs'!S242,'Model inputs'!S243)</f>
        <v>61</v>
      </c>
      <c r="T197" s="10">
        <f>SUM('Model inputs'!T242,'Model inputs'!T243)</f>
        <v>64</v>
      </c>
      <c r="U197" s="10">
        <f>SUM('Model inputs'!U242,'Model inputs'!U243)</f>
        <v>70</v>
      </c>
      <c r="V197" s="10">
        <f>SUM('Model inputs'!V242,'Model inputs'!V243)</f>
        <v>76</v>
      </c>
      <c r="W197" s="10">
        <f>SUM('Model inputs'!W242,'Model inputs'!W243)</f>
        <v>79</v>
      </c>
      <c r="X197" s="10">
        <f>SUM('Model inputs'!X242,'Model inputs'!X243)</f>
        <v>85</v>
      </c>
    </row>
    <row r="198">
      <c r="A198" t="inlineStr" s="21">
        <is>
          <t xml:space="preserve">Compute spend · AgentBisect — 300 teams at month 12</t>
        </is>
      </c>
      <c r="L198" s="10">
        <f>SUM('Model inputs'!L245,'Model inputs'!L246)</f>
        <v>0</v>
      </c>
      <c r="M198" s="10">
        <f>SUM('Model inputs'!M245,'Model inputs'!M246)</f>
        <v>100</v>
      </c>
      <c r="N198" s="10">
        <f>SUM('Model inputs'!N245,'Model inputs'!N246)</f>
        <v>175</v>
      </c>
      <c r="O198" s="10">
        <f>SUM('Model inputs'!O245,'Model inputs'!O246)</f>
        <v>250</v>
      </c>
      <c r="P198" s="10">
        <f>SUM('Model inputs'!P245,'Model inputs'!P246)</f>
        <v>325</v>
      </c>
      <c r="Q198" s="10">
        <f>SUM('Model inputs'!Q245,'Model inputs'!Q246)</f>
        <v>400</v>
      </c>
      <c r="R198" s="10">
        <f>SUM('Model inputs'!R245,'Model inputs'!R246)</f>
        <v>475</v>
      </c>
      <c r="S198" s="10">
        <f>SUM('Model inputs'!S245,'Model inputs'!S246)</f>
        <v>550</v>
      </c>
      <c r="T198" s="10">
        <f>SUM('Model inputs'!T245,'Model inputs'!T246)</f>
        <v>625</v>
      </c>
      <c r="U198" s="10">
        <f>SUM('Model inputs'!U245,'Model inputs'!U246)</f>
        <v>700</v>
      </c>
      <c r="V198" s="10">
        <f>SUM('Model inputs'!V245,'Model inputs'!V246)</f>
        <v>775</v>
      </c>
      <c r="W198" s="10">
        <f>SUM('Model inputs'!W245,'Model inputs'!W246)</f>
        <v>850</v>
      </c>
      <c r="X198" s="10">
        <f>SUM('Model inputs'!X245,'Model inputs'!X246)</f>
        <v>925</v>
      </c>
    </row>
    <row r="199">
      <c r="A199" t="inlineStr" s="21">
        <is>
          <t xml:space="preserve">Free repos · Active free repos · Revenue · AgentBisect — 100 teams at month 12 · AgentBisect — 100 teams at month 12 · AgentBisect — 100 teams at month 12</t>
        </is>
      </c>
      <c r="C199" s="9">
        <f>'Editable assumptions'!B14</f>
        <v>50</v>
      </c>
    </row>
    <row r="200">
      <c r="A200" t="inlineStr" s="21">
        <is>
          <t xml:space="preserve">Free repos · Active free repos · Revenue · AgentBisect — 20 teams at month 12 · AgentBisect — 20 teams at month 12 · AgentBisect — 20 teams at month 12</t>
        </is>
      </c>
      <c r="C200" s="9">
        <f>'Editable assumptions'!B14</f>
        <v>50</v>
      </c>
    </row>
    <row r="201">
      <c r="A201" t="inlineStr" s="21">
        <is>
          <t xml:space="preserve">Free repos · Active free repos · Revenue · AgentBisect — 300 teams at month 12 · AgentBisect — 300 teams at month 12 · AgentBisect — 300 teams at month 12</t>
        </is>
      </c>
      <c r="C201" s="9">
        <f>'Editable assumptions'!B14</f>
        <v>50</v>
      </c>
    </row>
    <row r="202">
      <c r="A202" t="inlineStr" s="21">
        <is>
          <t xml:space="preserve">Hosting expense · AgentBisect — 100 teams at month 12</t>
        </is>
      </c>
      <c r="L202" s="10">
        <v>0</v>
      </c>
      <c r="M202" s="10">
        <f>IF('Model inputs'!C247="","",'Model inputs'!C247)</f>
        <v>300</v>
      </c>
      <c r="N202" s="10">
        <f>IF('Model inputs'!C247="","",'Model inputs'!C247)</f>
        <v>300</v>
      </c>
      <c r="O202" s="10">
        <f>IF('Model inputs'!C247="","",'Model inputs'!C247)</f>
        <v>300</v>
      </c>
      <c r="P202" s="10">
        <f>IF('Model inputs'!C247="","",'Model inputs'!C247)</f>
        <v>300</v>
      </c>
      <c r="Q202" s="10">
        <f>IF('Model inputs'!C247="","",'Model inputs'!C247)</f>
        <v>300</v>
      </c>
      <c r="R202" s="10">
        <f>IF('Model inputs'!C247="","",'Model inputs'!C247)</f>
        <v>300</v>
      </c>
      <c r="S202" s="10">
        <f>IF('Model inputs'!C247="","",'Model inputs'!C247)</f>
        <v>300</v>
      </c>
      <c r="T202" s="10">
        <f>IF('Model inputs'!C247="","",'Model inputs'!C247)</f>
        <v>300</v>
      </c>
      <c r="U202" s="10">
        <f>IF('Model inputs'!C247="","",'Model inputs'!C247)</f>
        <v>300</v>
      </c>
      <c r="V202" s="10">
        <f>IF('Model inputs'!C247="","",'Model inputs'!C247)</f>
        <v>300</v>
      </c>
      <c r="W202" s="10">
        <f>IF('Model inputs'!C247="","",'Model inputs'!C247)</f>
        <v>300</v>
      </c>
      <c r="X202" s="10">
        <f>IF('Model inputs'!C247="","",'Model inputs'!C247)</f>
        <v>300</v>
      </c>
    </row>
    <row r="203">
      <c r="A203" t="inlineStr" s="21">
        <is>
          <t xml:space="preserve">Hosting expense · AgentBisect — 20 teams at month 12</t>
        </is>
      </c>
      <c r="L203" s="10">
        <v>0</v>
      </c>
      <c r="M203" s="10">
        <f>IF('Model inputs'!C248="","",'Model inputs'!C248)</f>
        <v>300</v>
      </c>
      <c r="N203" s="10">
        <f>IF('Model inputs'!C248="","",'Model inputs'!C248)</f>
        <v>300</v>
      </c>
      <c r="O203" s="10">
        <f>IF('Model inputs'!C248="","",'Model inputs'!C248)</f>
        <v>300</v>
      </c>
      <c r="P203" s="10">
        <f>IF('Model inputs'!C248="","",'Model inputs'!C248)</f>
        <v>300</v>
      </c>
      <c r="Q203" s="10">
        <f>IF('Model inputs'!C248="","",'Model inputs'!C248)</f>
        <v>300</v>
      </c>
      <c r="R203" s="10">
        <f>IF('Model inputs'!C248="","",'Model inputs'!C248)</f>
        <v>300</v>
      </c>
      <c r="S203" s="10">
        <f>IF('Model inputs'!C248="","",'Model inputs'!C248)</f>
        <v>300</v>
      </c>
      <c r="T203" s="10">
        <f>IF('Model inputs'!C248="","",'Model inputs'!C248)</f>
        <v>300</v>
      </c>
      <c r="U203" s="10">
        <f>IF('Model inputs'!C248="","",'Model inputs'!C248)</f>
        <v>300</v>
      </c>
      <c r="V203" s="10">
        <f>IF('Model inputs'!C248="","",'Model inputs'!C248)</f>
        <v>300</v>
      </c>
      <c r="W203" s="10">
        <f>IF('Model inputs'!C248="","",'Model inputs'!C248)</f>
        <v>300</v>
      </c>
      <c r="X203" s="10">
        <f>IF('Model inputs'!C248="","",'Model inputs'!C248)</f>
        <v>300</v>
      </c>
    </row>
    <row r="204">
      <c r="A204" t="inlineStr" s="21">
        <is>
          <t xml:space="preserve">Hosting expense · AgentBisect — 300 teams at month 12</t>
        </is>
      </c>
      <c r="L204" s="10">
        <v>0</v>
      </c>
      <c r="M204" s="10">
        <f>IF('Model inputs'!C249="","",'Model inputs'!C249)</f>
        <v>300</v>
      </c>
      <c r="N204" s="10">
        <f>IF('Model inputs'!C249="","",'Model inputs'!C249)</f>
        <v>300</v>
      </c>
      <c r="O204" s="10">
        <f>IF('Model inputs'!C249="","",'Model inputs'!C249)</f>
        <v>300</v>
      </c>
      <c r="P204" s="10">
        <f>IF('Model inputs'!C249="","",'Model inputs'!C249)</f>
        <v>300</v>
      </c>
      <c r="Q204" s="10">
        <f>IF('Model inputs'!C249="","",'Model inputs'!C249)</f>
        <v>300</v>
      </c>
      <c r="R204" s="10">
        <f>IF('Model inputs'!C249="","",'Model inputs'!C249)</f>
        <v>300</v>
      </c>
      <c r="S204" s="10">
        <f>IF('Model inputs'!C249="","",'Model inputs'!C249)</f>
        <v>300</v>
      </c>
      <c r="T204" s="10">
        <f>IF('Model inputs'!C249="","",'Model inputs'!C249)</f>
        <v>300</v>
      </c>
      <c r="U204" s="10">
        <f>IF('Model inputs'!C249="","",'Model inputs'!C249)</f>
        <v>300</v>
      </c>
      <c r="V204" s="10">
        <f>IF('Model inputs'!C249="","",'Model inputs'!C249)</f>
        <v>300</v>
      </c>
      <c r="W204" s="10">
        <f>IF('Model inputs'!C249="","",'Model inputs'!C249)</f>
        <v>300</v>
      </c>
      <c r="X204" s="10">
        <f>IF('Model inputs'!C249="","",'Model inputs'!C249)</f>
        <v>300</v>
      </c>
    </row>
    <row r="205">
      <c r="A205" t="inlineStr" s="21">
        <is>
          <t xml:space="preserve">Included investigations</t>
        </is>
      </c>
      <c r="C205" s="12">
        <v>0</v>
      </c>
    </row>
    <row r="206" outlineLevel="1">
      <c r="A206" t="inlineStr" s="22">
        <is>
          <t xml:space="preserve">Included investigations &gt; Free</t>
        </is>
      </c>
      <c r="C206" s="9">
        <f>'Unit economics by plan'!C5</f>
        <v>10</v>
      </c>
    </row>
    <row r="207" outlineLevel="1">
      <c r="A207" t="inlineStr" s="22">
        <is>
          <t xml:space="preserve">Included investigations &gt; Team</t>
        </is>
      </c>
      <c r="C207" s="9">
        <f>'Unit economics by plan'!C6</f>
        <v>100</v>
      </c>
    </row>
    <row r="208">
      <c r="A208" t="inlineStr" s="21">
        <is>
          <t xml:space="preserve">Included investigations</t>
        </is>
      </c>
      <c r="C208" s="12">
        <v>0</v>
      </c>
    </row>
    <row r="209" outlineLevel="1">
      <c r="A209" t="inlineStr" s="22">
        <is>
          <t xml:space="preserve">Included investigations &gt; Free</t>
        </is>
      </c>
      <c r="C209" s="9">
        <f>'Unit economics by plan'!C5</f>
        <v>10</v>
      </c>
    </row>
    <row r="210" outlineLevel="1">
      <c r="A210" t="inlineStr" s="22">
        <is>
          <t xml:space="preserve">Included investigations &gt; Team</t>
        </is>
      </c>
      <c r="C210" s="9">
        <f>'Unit economics by plan'!C6</f>
        <v>100</v>
      </c>
    </row>
    <row r="211">
      <c r="A211" t="inlineStr" s="21">
        <is>
          <t xml:space="preserve">Included investigations</t>
        </is>
      </c>
      <c r="C211" s="12">
        <v>0</v>
      </c>
    </row>
    <row r="212" outlineLevel="1">
      <c r="A212" t="inlineStr" s="22">
        <is>
          <t xml:space="preserve">Included investigations &gt; Free</t>
        </is>
      </c>
      <c r="C212" s="9">
        <f>'Unit economics by plan'!C5</f>
        <v>10</v>
      </c>
    </row>
    <row r="213" outlineLevel="1">
      <c r="A213" t="inlineStr" s="22">
        <is>
          <t xml:space="preserve">Included investigations &gt; Team</t>
        </is>
      </c>
      <c r="C213" s="9">
        <f>'Unit economics by plan'!C6</f>
        <v>100</v>
      </c>
    </row>
    <row r="214">
      <c r="A214" t="inlineStr" s="21">
        <is>
          <t xml:space="preserve">Model spend · AgentBisect — 100 teams at month 12</t>
        </is>
      </c>
      <c r="L214" s="10">
        <f>SUM('Model inputs'!L251,'Model inputs'!L252)</f>
        <v>0</v>
      </c>
      <c r="M214" s="10">
        <f>SUM('Model inputs'!M251,'Model inputs'!M252)</f>
        <v>245</v>
      </c>
      <c r="N214" s="10">
        <f>SUM('Model inputs'!N251,'Model inputs'!N252)</f>
        <v>380</v>
      </c>
      <c r="O214" s="10">
        <f>SUM('Model inputs'!O251,'Model inputs'!O252)</f>
        <v>500</v>
      </c>
      <c r="P214" s="10">
        <f>SUM('Model inputs'!P251,'Model inputs'!P252)</f>
        <v>620</v>
      </c>
      <c r="Q214" s="10">
        <f>SUM('Model inputs'!Q251,'Model inputs'!Q252)</f>
        <v>755</v>
      </c>
      <c r="R214" s="10">
        <f>SUM('Model inputs'!R251,'Model inputs'!R252)</f>
        <v>875</v>
      </c>
      <c r="S214" s="10">
        <f>SUM('Model inputs'!S251,'Model inputs'!S252)</f>
        <v>995</v>
      </c>
      <c r="T214" s="10">
        <f>SUM('Model inputs'!T251,'Model inputs'!T252)</f>
        <v>1130</v>
      </c>
      <c r="U214" s="10">
        <f>SUM('Model inputs'!U251,'Model inputs'!U252)</f>
        <v>1250</v>
      </c>
      <c r="V214" s="10">
        <f>SUM('Model inputs'!V251,'Model inputs'!V252)</f>
        <v>1370</v>
      </c>
      <c r="W214" s="10">
        <f>SUM('Model inputs'!W251,'Model inputs'!W252)</f>
        <v>1505</v>
      </c>
      <c r="X214" s="10">
        <f>SUM('Model inputs'!X251,'Model inputs'!X252)</f>
        <v>1625</v>
      </c>
    </row>
    <row r="215">
      <c r="A215" t="inlineStr" s="21">
        <is>
          <t xml:space="preserve">Model spend · AgentBisect — 20 teams at month 12</t>
        </is>
      </c>
      <c r="L215" s="10">
        <f>SUM('Model inputs'!L254,'Model inputs'!L255)</f>
        <v>0</v>
      </c>
      <c r="M215" s="10">
        <f>SUM('Model inputs'!M254,'Model inputs'!M255)</f>
        <v>155</v>
      </c>
      <c r="N215" s="10">
        <f>SUM('Model inputs'!N254,'Model inputs'!N255)</f>
        <v>170</v>
      </c>
      <c r="O215" s="10">
        <f>SUM('Model inputs'!O254,'Model inputs'!O255)</f>
        <v>200</v>
      </c>
      <c r="P215" s="10">
        <f>SUM('Model inputs'!P254,'Model inputs'!P255)</f>
        <v>230</v>
      </c>
      <c r="Q215" s="10">
        <f>SUM('Model inputs'!Q254,'Model inputs'!Q255)</f>
        <v>245</v>
      </c>
      <c r="R215" s="10">
        <f>SUM('Model inputs'!R254,'Model inputs'!R255)</f>
        <v>275</v>
      </c>
      <c r="S215" s="10">
        <f>SUM('Model inputs'!S254,'Model inputs'!S255)</f>
        <v>305</v>
      </c>
      <c r="T215" s="10">
        <f>SUM('Model inputs'!T254,'Model inputs'!T255)</f>
        <v>320</v>
      </c>
      <c r="U215" s="10">
        <f>SUM('Model inputs'!U254,'Model inputs'!U255)</f>
        <v>350</v>
      </c>
      <c r="V215" s="10">
        <f>SUM('Model inputs'!V254,'Model inputs'!V255)</f>
        <v>380</v>
      </c>
      <c r="W215" s="10">
        <f>SUM('Model inputs'!W254,'Model inputs'!W255)</f>
        <v>395</v>
      </c>
      <c r="X215" s="10">
        <f>SUM('Model inputs'!X254,'Model inputs'!X255)</f>
        <v>425</v>
      </c>
    </row>
    <row r="216">
      <c r="A216" t="inlineStr" s="21">
        <is>
          <t xml:space="preserve">Model spend · AgentBisect — 300 teams at month 12</t>
        </is>
      </c>
      <c r="L216" s="10">
        <f>SUM('Model inputs'!L257,'Model inputs'!L258)</f>
        <v>0</v>
      </c>
      <c r="M216" s="10">
        <f>SUM('Model inputs'!M257,'Model inputs'!M258)</f>
        <v>500</v>
      </c>
      <c r="N216" s="10">
        <f>SUM('Model inputs'!N257,'Model inputs'!N258)</f>
        <v>875</v>
      </c>
      <c r="O216" s="10">
        <f>SUM('Model inputs'!O257,'Model inputs'!O258)</f>
        <v>1250</v>
      </c>
      <c r="P216" s="10">
        <f>SUM('Model inputs'!P257,'Model inputs'!P258)</f>
        <v>1625</v>
      </c>
      <c r="Q216" s="10">
        <f>SUM('Model inputs'!Q257,'Model inputs'!Q258)</f>
        <v>2000</v>
      </c>
      <c r="R216" s="10">
        <f>SUM('Model inputs'!R257,'Model inputs'!R258)</f>
        <v>2375</v>
      </c>
      <c r="S216" s="10">
        <f>SUM('Model inputs'!S257,'Model inputs'!S258)</f>
        <v>2750</v>
      </c>
      <c r="T216" s="10">
        <f>SUM('Model inputs'!T257,'Model inputs'!T258)</f>
        <v>3125</v>
      </c>
      <c r="U216" s="10">
        <f>SUM('Model inputs'!U257,'Model inputs'!U258)</f>
        <v>3500</v>
      </c>
      <c r="V216" s="10">
        <f>SUM('Model inputs'!V257,'Model inputs'!V258)</f>
        <v>3875</v>
      </c>
      <c r="W216" s="10">
        <f>SUM('Model inputs'!W257,'Model inputs'!W258)</f>
        <v>4250</v>
      </c>
      <c r="X216" s="10">
        <f>SUM('Model inputs'!X257,'Model inputs'!X258)</f>
        <v>4625</v>
      </c>
    </row>
    <row r="217">
      <c r="A217" t="inlineStr" s="21">
        <is>
          <t xml:space="preserve">Monthly price per repo</t>
        </is>
      </c>
      <c r="C217" s="13">
        <v>0</v>
      </c>
    </row>
    <row r="218" outlineLevel="1">
      <c r="A218" t="inlineStr" s="22">
        <is>
          <t xml:space="preserve">Monthly price per repo &gt; Free</t>
        </is>
      </c>
      <c r="C218" s="10">
        <f>'Unit economics by plan'!B5</f>
        <v>0</v>
      </c>
    </row>
    <row r="219" outlineLevel="1">
      <c r="A219" t="inlineStr" s="22">
        <is>
          <t xml:space="preserve">Monthly price per repo &gt; Team</t>
        </is>
      </c>
      <c r="C219" s="10">
        <f>'Unit economics by plan'!B6</f>
        <v>99</v>
      </c>
    </row>
    <row r="220">
      <c r="A220" t="inlineStr" s="21">
        <is>
          <t xml:space="preserve">Monthly price per repo</t>
        </is>
      </c>
      <c r="C220" s="13">
        <v>0</v>
      </c>
    </row>
    <row r="221" outlineLevel="1">
      <c r="A221" t="inlineStr" s="22">
        <is>
          <t xml:space="preserve">Monthly price per repo &gt; Free</t>
        </is>
      </c>
      <c r="C221" s="10">
        <f>'Unit economics by plan'!B5</f>
        <v>0</v>
      </c>
    </row>
    <row r="222" outlineLevel="1">
      <c r="A222" t="inlineStr" s="22">
        <is>
          <t xml:space="preserve">Monthly price per repo &gt; Team</t>
        </is>
      </c>
      <c r="C222" s="10">
        <f>'Unit economics by plan'!B6</f>
        <v>99</v>
      </c>
    </row>
    <row r="223">
      <c r="A223" t="inlineStr" s="21">
        <is>
          <t xml:space="preserve">Monthly price per repo</t>
        </is>
      </c>
      <c r="C223" s="13">
        <v>0</v>
      </c>
    </row>
    <row r="224" outlineLevel="1">
      <c r="A224" t="inlineStr" s="22">
        <is>
          <t xml:space="preserve">Monthly price per repo &gt; Free</t>
        </is>
      </c>
      <c r="C224" s="10">
        <f>'Unit economics by plan'!B5</f>
        <v>0</v>
      </c>
    </row>
    <row r="225" outlineLevel="1">
      <c r="A225" t="inlineStr" s="22">
        <is>
          <t xml:space="preserve">Monthly price per repo &gt; Team</t>
        </is>
      </c>
      <c r="C225" s="10">
        <f>'Unit economics by plan'!B6</f>
        <v>99</v>
      </c>
    </row>
    <row r="226">
      <c r="A226" t="inlineStr" s="21">
        <is>
          <t xml:space="preserve">Overage price</t>
        </is>
      </c>
      <c r="C226" s="6">
        <v>0</v>
      </c>
    </row>
    <row r="227" outlineLevel="1">
      <c r="A227" t="inlineStr" s="22">
        <is>
          <t xml:space="preserve">Overage price &gt; Free</t>
        </is>
      </c>
      <c r="C227" s="8">
        <f>'Unit economics by plan'!E5</f>
        <v>0</v>
      </c>
    </row>
    <row r="228" outlineLevel="1">
      <c r="A228" t="inlineStr" s="22">
        <is>
          <t xml:space="preserve">Overage price &gt; Team</t>
        </is>
      </c>
      <c r="C228" s="8">
        <f>'Unit economics by plan'!E6</f>
        <v>1</v>
      </c>
    </row>
    <row r="229">
      <c r="A229" t="inlineStr" s="21">
        <is>
          <t xml:space="preserve">Overage price</t>
        </is>
      </c>
      <c r="C229" s="6">
        <v>0</v>
      </c>
    </row>
    <row r="230" outlineLevel="1">
      <c r="A230" t="inlineStr" s="22">
        <is>
          <t xml:space="preserve">Overage price &gt; Free</t>
        </is>
      </c>
      <c r="C230" s="8">
        <f>'Unit economics by plan'!E5</f>
        <v>0</v>
      </c>
    </row>
    <row r="231" outlineLevel="1">
      <c r="A231" t="inlineStr" s="22">
        <is>
          <t xml:space="preserve">Overage price &gt; Team</t>
        </is>
      </c>
      <c r="C231" s="8">
        <f>'Unit economics by plan'!E6</f>
        <v>1</v>
      </c>
    </row>
    <row r="232">
      <c r="A232" t="inlineStr" s="21">
        <is>
          <t xml:space="preserve">Overage price</t>
        </is>
      </c>
      <c r="C232" s="6">
        <v>0</v>
      </c>
    </row>
    <row r="233" outlineLevel="1">
      <c r="A233" t="inlineStr" s="22">
        <is>
          <t xml:space="preserve">Overage price &gt; Free</t>
        </is>
      </c>
      <c r="C233" s="8">
        <f>'Unit economics by plan'!E5</f>
        <v>0</v>
      </c>
    </row>
    <row r="234" outlineLevel="1">
      <c r="A234" t="inlineStr" s="22">
        <is>
          <t xml:space="preserve">Overage price &gt; Team</t>
        </is>
      </c>
      <c r="C234" s="8">
        <f>'Unit economics by plan'!E6</f>
        <v>1</v>
      </c>
    </row>
    <row r="235">
      <c r="A235" t="inlineStr" s="21">
        <is>
          <t xml:space="preserve">Investigations</t>
        </is>
      </c>
      <c r="D235" s="12">
        <f>SUM('Model inputs'!D236,'Model inputs'!D237)</f>
        <v>0</v>
      </c>
      <c r="E235" s="12">
        <f>SUM('Model inputs'!E236,'Model inputs'!E237)</f>
        <v>0</v>
      </c>
      <c r="F235" s="12">
        <f>SUM('Model inputs'!F236,'Model inputs'!F237)</f>
        <v>0</v>
      </c>
      <c r="G235" s="12">
        <f>SUM('Model inputs'!G236,'Model inputs'!G237)</f>
        <v>0</v>
      </c>
      <c r="H235" s="12">
        <f>SUM('Model inputs'!H236,'Model inputs'!H237)</f>
        <v>0</v>
      </c>
      <c r="I235" s="12">
        <f>SUM('Model inputs'!I236,'Model inputs'!I237)</f>
        <v>0</v>
      </c>
      <c r="J235" s="12">
        <f>SUM('Model inputs'!J236,'Model inputs'!J237)</f>
        <v>0</v>
      </c>
      <c r="K235" s="12">
        <f>SUM('Model inputs'!K236,'Model inputs'!K237)</f>
        <v>0</v>
      </c>
      <c r="L235" s="12">
        <f>IF('Model inputs'!L114="","",'Model inputs'!L114)</f>
        <v>0</v>
      </c>
      <c r="M235" s="12">
        <f>IF('Model inputs'!M114="","",'Model inputs'!M114)</f>
        <v>800</v>
      </c>
      <c r="N235" s="12">
        <f>IF('Model inputs'!N114="","",'Model inputs'!N114)</f>
        <v>1100</v>
      </c>
      <c r="O235" s="12">
        <f>IF('Model inputs'!O114="","",'Model inputs'!O114)</f>
        <v>1400</v>
      </c>
      <c r="P235" s="12">
        <f>IF('Model inputs'!P114="","",'Model inputs'!P114)</f>
        <v>1700</v>
      </c>
      <c r="Q235" s="12">
        <f>IF('Model inputs'!Q114="","",'Model inputs'!Q114)</f>
        <v>2000</v>
      </c>
      <c r="R235" s="12">
        <f>IF('Model inputs'!R114="","",'Model inputs'!R114)</f>
        <v>2300</v>
      </c>
      <c r="S235" s="12">
        <f>IF('Model inputs'!S114="","",'Model inputs'!S114)</f>
        <v>2600</v>
      </c>
      <c r="T235" s="12">
        <f>IF('Model inputs'!T114="","",'Model inputs'!T114)</f>
        <v>2900</v>
      </c>
      <c r="U235" s="12">
        <f>IF('Model inputs'!U114="","",'Model inputs'!U114)</f>
        <v>3200</v>
      </c>
      <c r="V235" s="12">
        <f>IF('Model inputs'!V114="","",'Model inputs'!V114)</f>
        <v>3500</v>
      </c>
      <c r="W235" s="12">
        <f>IF('Model inputs'!W114="","",'Model inputs'!W114)</f>
        <v>3800</v>
      </c>
      <c r="X235" s="12">
        <f>IF('Model inputs'!X114="","",'Model inputs'!X114)</f>
        <v>4100</v>
      </c>
      <c r="Y235" s="12">
        <f>IF('Model inputs'!Y114="","",'Model inputs'!Y114)</f>
        <v>4400</v>
      </c>
      <c r="Z235" s="12">
        <f>IF('Model inputs'!Z114="","",'Model inputs'!Z114)</f>
        <v>4700</v>
      </c>
      <c r="AA235" s="12">
        <f>IF('Model inputs'!AA114="","",'Model inputs'!AA114)</f>
        <v>5000</v>
      </c>
      <c r="AB235" s="12">
        <f>IF('Model inputs'!AB114="","",'Model inputs'!AB114)</f>
        <v>5300</v>
      </c>
      <c r="AC235" s="12">
        <f>IF('Model inputs'!AC114="","",'Model inputs'!AC114)</f>
        <v>5600</v>
      </c>
      <c r="AD235" s="12">
        <f>IF('Model inputs'!AD114="","",'Model inputs'!AD114)</f>
        <v>5900</v>
      </c>
      <c r="AE235" s="12">
        <f>IF('Model inputs'!AE114="","",'Model inputs'!AE114)</f>
        <v>6200</v>
      </c>
      <c r="AF235" s="12">
        <f>IF('Model inputs'!AF114="","",'Model inputs'!AF114)</f>
        <v>6500</v>
      </c>
      <c r="AG235" s="12">
        <f>IF('Model inputs'!AG114="","",'Model inputs'!AG114)</f>
        <v>6800</v>
      </c>
      <c r="AH235" s="12">
        <f>IF('Model inputs'!AH114="","",'Model inputs'!AH114)</f>
        <v>7100</v>
      </c>
      <c r="AI235" s="12">
        <f>IF('Model inputs'!AI114="","",'Model inputs'!AI114)</f>
        <v>7400</v>
      </c>
      <c r="AJ235" s="12">
        <f>IF('Model inputs'!AJ114="","",'Model inputs'!AJ114)</f>
        <v>7700</v>
      </c>
    </row>
    <row r="236" outlineLevel="1">
      <c r="A236" t="inlineStr" s="22">
        <is>
          <t xml:space="preserve">Investigations &gt; Free</t>
        </is>
      </c>
      <c r="D236" s="9">
        <f>0</f>
        <v>0</v>
      </c>
      <c r="E236" s="9">
        <f>0</f>
        <v>0</v>
      </c>
      <c r="F236" s="9">
        <f>0</f>
        <v>0</v>
      </c>
      <c r="G236" s="9">
        <f>0</f>
        <v>0</v>
      </c>
      <c r="H236" s="9">
        <f>0</f>
        <v>0</v>
      </c>
      <c r="I236" s="9">
        <f>0</f>
        <v>0</v>
      </c>
      <c r="J236" s="9">
        <f>0</f>
        <v>0</v>
      </c>
      <c r="K236" s="9">
        <f>0</f>
        <v>0</v>
      </c>
      <c r="L236" s="9">
        <f>IF('Model inputs'!L115="","",'Model inputs'!L115)</f>
        <v>0</v>
      </c>
      <c r="M236" s="9">
        <f>IF('Model inputs'!M115="","",'Model inputs'!M115)</f>
        <v>500</v>
      </c>
      <c r="N236" s="9">
        <f>IF('Model inputs'!N115="","",'Model inputs'!N115)</f>
        <v>500</v>
      </c>
      <c r="O236" s="9">
        <f>IF('Model inputs'!O115="","",'Model inputs'!O115)</f>
        <v>500</v>
      </c>
      <c r="P236" s="9">
        <f>IF('Model inputs'!P115="","",'Model inputs'!P115)</f>
        <v>500</v>
      </c>
      <c r="Q236" s="9">
        <f>IF('Model inputs'!Q115="","",'Model inputs'!Q115)</f>
        <v>500</v>
      </c>
      <c r="R236" s="9">
        <f>IF('Model inputs'!R115="","",'Model inputs'!R115)</f>
        <v>500</v>
      </c>
      <c r="S236" s="9">
        <f>IF('Model inputs'!S115="","",'Model inputs'!S115)</f>
        <v>500</v>
      </c>
      <c r="T236" s="9">
        <f>IF('Model inputs'!T115="","",'Model inputs'!T115)</f>
        <v>500</v>
      </c>
      <c r="U236" s="9">
        <f>IF('Model inputs'!U115="","",'Model inputs'!U115)</f>
        <v>500</v>
      </c>
      <c r="V236" s="9">
        <f>IF('Model inputs'!V115="","",'Model inputs'!V115)</f>
        <v>500</v>
      </c>
      <c r="W236" s="9">
        <f>IF('Model inputs'!W115="","",'Model inputs'!W115)</f>
        <v>500</v>
      </c>
      <c r="X236" s="9">
        <f>IF('Model inputs'!X115="","",'Model inputs'!X115)</f>
        <v>500</v>
      </c>
      <c r="Y236" s="9">
        <f>IF('Model inputs'!Y115="","",'Model inputs'!Y115)</f>
        <v>500</v>
      </c>
      <c r="Z236" s="9">
        <f>IF('Model inputs'!Z115="","",'Model inputs'!Z115)</f>
        <v>500</v>
      </c>
      <c r="AA236" s="9">
        <f>IF('Model inputs'!AA115="","",'Model inputs'!AA115)</f>
        <v>500</v>
      </c>
      <c r="AB236" s="9">
        <f>IF('Model inputs'!AB115="","",'Model inputs'!AB115)</f>
        <v>500</v>
      </c>
      <c r="AC236" s="9">
        <f>IF('Model inputs'!AC115="","",'Model inputs'!AC115)</f>
        <v>500</v>
      </c>
      <c r="AD236" s="9">
        <f>IF('Model inputs'!AD115="","",'Model inputs'!AD115)</f>
        <v>500</v>
      </c>
      <c r="AE236" s="9">
        <f>IF('Model inputs'!AE115="","",'Model inputs'!AE115)</f>
        <v>500</v>
      </c>
      <c r="AF236" s="9">
        <f>IF('Model inputs'!AF115="","",'Model inputs'!AF115)</f>
        <v>500</v>
      </c>
      <c r="AG236" s="9">
        <f>IF('Model inputs'!AG115="","",'Model inputs'!AG115)</f>
        <v>500</v>
      </c>
      <c r="AH236" s="9">
        <f>IF('Model inputs'!AH115="","",'Model inputs'!AH115)</f>
        <v>500</v>
      </c>
      <c r="AI236" s="9">
        <f>IF('Model inputs'!AI115="","",'Model inputs'!AI115)</f>
        <v>500</v>
      </c>
      <c r="AJ236" s="9">
        <f>IF('Model inputs'!AJ115="","",'Model inputs'!AJ115)</f>
        <v>500</v>
      </c>
    </row>
    <row r="237" outlineLevel="1">
      <c r="A237" t="inlineStr" s="22">
        <is>
          <t xml:space="preserve">Investigations &gt; Team</t>
        </is>
      </c>
      <c r="D237" s="9">
        <f>0</f>
        <v>0</v>
      </c>
      <c r="E237" s="9">
        <f>0</f>
        <v>0</v>
      </c>
      <c r="F237" s="9">
        <f>0</f>
        <v>0</v>
      </c>
      <c r="G237" s="9">
        <f>0</f>
        <v>0</v>
      </c>
      <c r="H237" s="9">
        <f>0</f>
        <v>0</v>
      </c>
      <c r="I237" s="9">
        <f>0</f>
        <v>0</v>
      </c>
      <c r="J237" s="9">
        <f>0</f>
        <v>0</v>
      </c>
      <c r="K237" s="9">
        <f>0</f>
        <v>0</v>
      </c>
      <c r="L237" s="9">
        <f>IF('Model inputs'!L116="","",'Model inputs'!L116)</f>
        <v>0</v>
      </c>
      <c r="M237" s="9">
        <f>IF('Model inputs'!M116="","",'Model inputs'!M116)</f>
        <v>300</v>
      </c>
      <c r="N237" s="9">
        <f>IF('Model inputs'!N116="","",'Model inputs'!N116)</f>
        <v>600</v>
      </c>
      <c r="O237" s="9">
        <f>IF('Model inputs'!O116="","",'Model inputs'!O116)</f>
        <v>900</v>
      </c>
      <c r="P237" s="9">
        <f>IF('Model inputs'!P116="","",'Model inputs'!P116)</f>
        <v>1200</v>
      </c>
      <c r="Q237" s="9">
        <f>IF('Model inputs'!Q116="","",'Model inputs'!Q116)</f>
        <v>1500</v>
      </c>
      <c r="R237" s="9">
        <f>IF('Model inputs'!R116="","",'Model inputs'!R116)</f>
        <v>1800</v>
      </c>
      <c r="S237" s="9">
        <f>IF('Model inputs'!S116="","",'Model inputs'!S116)</f>
        <v>2100</v>
      </c>
      <c r="T237" s="9">
        <f>IF('Model inputs'!T116="","",'Model inputs'!T116)</f>
        <v>2400</v>
      </c>
      <c r="U237" s="9">
        <f>IF('Model inputs'!U116="","",'Model inputs'!U116)</f>
        <v>2700</v>
      </c>
      <c r="V237" s="9">
        <f>IF('Model inputs'!V116="","",'Model inputs'!V116)</f>
        <v>3000</v>
      </c>
      <c r="W237" s="9">
        <f>IF('Model inputs'!W116="","",'Model inputs'!W116)</f>
        <v>3300</v>
      </c>
      <c r="X237" s="9">
        <f>IF('Model inputs'!X116="","",'Model inputs'!X116)</f>
        <v>3600</v>
      </c>
      <c r="Y237" s="9">
        <f>IF('Model inputs'!Y116="","",'Model inputs'!Y116)</f>
        <v>3900</v>
      </c>
      <c r="Z237" s="9">
        <f>IF('Model inputs'!Z116="","",'Model inputs'!Z116)</f>
        <v>4200</v>
      </c>
      <c r="AA237" s="9">
        <f>IF('Model inputs'!AA116="","",'Model inputs'!AA116)</f>
        <v>4500</v>
      </c>
      <c r="AB237" s="9">
        <f>IF('Model inputs'!AB116="","",'Model inputs'!AB116)</f>
        <v>4800</v>
      </c>
      <c r="AC237" s="9">
        <f>IF('Model inputs'!AC116="","",'Model inputs'!AC116)</f>
        <v>5100</v>
      </c>
      <c r="AD237" s="9">
        <f>IF('Model inputs'!AD116="","",'Model inputs'!AD116)</f>
        <v>5400</v>
      </c>
      <c r="AE237" s="9">
        <f>IF('Model inputs'!AE116="","",'Model inputs'!AE116)</f>
        <v>5700</v>
      </c>
      <c r="AF237" s="9">
        <f>IF('Model inputs'!AF116="","",'Model inputs'!AF116)</f>
        <v>6000</v>
      </c>
      <c r="AG237" s="9">
        <f>IF('Model inputs'!AG116="","",'Model inputs'!AG116)</f>
        <v>6300</v>
      </c>
      <c r="AH237" s="9">
        <f>IF('Model inputs'!AH116="","",'Model inputs'!AH116)</f>
        <v>6600</v>
      </c>
      <c r="AI237" s="9">
        <f>IF('Model inputs'!AI116="","",'Model inputs'!AI116)</f>
        <v>6900</v>
      </c>
      <c r="AJ237" s="9">
        <f>IF('Model inputs'!AJ116="","",'Model inputs'!AJ116)</f>
        <v>7200</v>
      </c>
    </row>
    <row r="238">
      <c r="A238" t="inlineStr" s="21">
        <is>
          <t xml:space="preserve">Compute spend</t>
        </is>
      </c>
      <c r="L238" s="13">
        <f>IF('Model inputs'!L196="","",'Model inputs'!L196)</f>
        <v>0</v>
      </c>
      <c r="M238" s="13">
        <f>IF('Model inputs'!M196="","",'Model inputs'!M196)</f>
        <v>49</v>
      </c>
      <c r="N238" s="13">
        <f>IF('Model inputs'!N196="","",'Model inputs'!N196)</f>
        <v>76</v>
      </c>
      <c r="O238" s="13">
        <f>IF('Model inputs'!O196="","",'Model inputs'!O196)</f>
        <v>100</v>
      </c>
      <c r="P238" s="13">
        <f>IF('Model inputs'!P196="","",'Model inputs'!P196)</f>
        <v>124</v>
      </c>
      <c r="Q238" s="13">
        <f>IF('Model inputs'!Q196="","",'Model inputs'!Q196)</f>
        <v>151</v>
      </c>
      <c r="R238" s="13">
        <f>IF('Model inputs'!R196="","",'Model inputs'!R196)</f>
        <v>175</v>
      </c>
      <c r="S238" s="13">
        <f>IF('Model inputs'!S196="","",'Model inputs'!S196)</f>
        <v>199</v>
      </c>
      <c r="T238" s="13">
        <f>IF('Model inputs'!T196="","",'Model inputs'!T196)</f>
        <v>226</v>
      </c>
      <c r="U238" s="13">
        <f>IF('Model inputs'!U196="","",'Model inputs'!U196)</f>
        <v>250</v>
      </c>
      <c r="V238" s="13">
        <f>IF('Model inputs'!V196="","",'Model inputs'!V196)</f>
        <v>274</v>
      </c>
      <c r="W238" s="13">
        <f>IF('Model inputs'!W196="","",'Model inputs'!W196)</f>
        <v>301</v>
      </c>
      <c r="X238" s="13">
        <f>IF('Model inputs'!X196="","",'Model inputs'!X196)</f>
        <v>325</v>
      </c>
    </row>
    <row r="239" outlineLevel="1">
      <c r="A239" t="inlineStr" s="22">
        <is>
          <t xml:space="preserve">Compute spend &gt; Free</t>
        </is>
      </c>
      <c r="L239" s="10">
        <f>'Monthly forecast and cash'!B19</f>
        <v>0</v>
      </c>
      <c r="M239" s="10">
        <f>'Model inputs'!M263*'Model inputs'!C259</f>
        <v>25</v>
      </c>
      <c r="N239" s="10">
        <f>'Model inputs'!N263*'Model inputs'!C259</f>
        <v>25</v>
      </c>
      <c r="O239" s="10">
        <f>'Model inputs'!O263*'Model inputs'!C259</f>
        <v>25</v>
      </c>
      <c r="P239" s="10">
        <f>'Model inputs'!P263*'Model inputs'!C259</f>
        <v>25</v>
      </c>
      <c r="Q239" s="10">
        <f>'Model inputs'!Q263*'Model inputs'!C259</f>
        <v>25</v>
      </c>
      <c r="R239" s="10">
        <f>'Model inputs'!R263*'Model inputs'!C259</f>
        <v>25</v>
      </c>
      <c r="S239" s="10">
        <f>'Model inputs'!S263*'Model inputs'!C259</f>
        <v>25</v>
      </c>
      <c r="T239" s="10">
        <f>'Model inputs'!T263*'Model inputs'!C259</f>
        <v>25</v>
      </c>
      <c r="U239" s="10">
        <f>'Model inputs'!U263*'Model inputs'!C259</f>
        <v>25</v>
      </c>
      <c r="V239" s="10">
        <f>'Model inputs'!V263*'Model inputs'!C259</f>
        <v>25</v>
      </c>
      <c r="W239" s="10">
        <f>'Model inputs'!W263*'Model inputs'!C259</f>
        <v>25</v>
      </c>
      <c r="X239" s="10">
        <f>'Model inputs'!X263*'Model inputs'!C259</f>
        <v>25</v>
      </c>
    </row>
    <row r="240" outlineLevel="1">
      <c r="A240" t="inlineStr" s="22">
        <is>
          <t xml:space="preserve">Compute spend &gt; Team</t>
        </is>
      </c>
      <c r="L240" s="10">
        <f>'Monthly forecast and cash'!B20</f>
        <v>0</v>
      </c>
      <c r="M240" s="10">
        <f>'Model inputs'!M264*'Model inputs'!C259</f>
        <v>24</v>
      </c>
      <c r="N240" s="10">
        <f>'Model inputs'!N264*'Model inputs'!C259</f>
        <v>51</v>
      </c>
      <c r="O240" s="10">
        <f>'Model inputs'!O264*'Model inputs'!C259</f>
        <v>75</v>
      </c>
      <c r="P240" s="10">
        <f>'Model inputs'!P264*'Model inputs'!C259</f>
        <v>99</v>
      </c>
      <c r="Q240" s="10">
        <f>'Model inputs'!Q264*'Model inputs'!C259</f>
        <v>126</v>
      </c>
      <c r="R240" s="10">
        <f>'Model inputs'!R264*'Model inputs'!C259</f>
        <v>150</v>
      </c>
      <c r="S240" s="10">
        <f>'Model inputs'!S264*'Model inputs'!C259</f>
        <v>174</v>
      </c>
      <c r="T240" s="10">
        <f>'Model inputs'!T264*'Model inputs'!C259</f>
        <v>201</v>
      </c>
      <c r="U240" s="10">
        <f>'Model inputs'!U264*'Model inputs'!C259</f>
        <v>225</v>
      </c>
      <c r="V240" s="10">
        <f>'Model inputs'!V264*'Model inputs'!C259</f>
        <v>249</v>
      </c>
      <c r="W240" s="10">
        <f>'Model inputs'!W264*'Model inputs'!C259</f>
        <v>276</v>
      </c>
      <c r="X240" s="10">
        <f>'Model inputs'!X264*'Model inputs'!C259</f>
        <v>300</v>
      </c>
    </row>
    <row r="241">
      <c r="A241" t="inlineStr" s="21">
        <is>
          <t xml:space="preserve">Compute spend</t>
        </is>
      </c>
      <c r="L241" s="13">
        <f>IF('Model inputs'!L197="","",'Model inputs'!L197)</f>
        <v>0</v>
      </c>
      <c r="M241" s="13">
        <f>IF('Model inputs'!M197="","",'Model inputs'!M197)</f>
        <v>31</v>
      </c>
      <c r="N241" s="13">
        <f>IF('Model inputs'!N197="","",'Model inputs'!N197)</f>
        <v>34</v>
      </c>
      <c r="O241" s="13">
        <f>IF('Model inputs'!O197="","",'Model inputs'!O197)</f>
        <v>40</v>
      </c>
      <c r="P241" s="13">
        <f>IF('Model inputs'!P197="","",'Model inputs'!P197)</f>
        <v>46</v>
      </c>
      <c r="Q241" s="13">
        <f>IF('Model inputs'!Q197="","",'Model inputs'!Q197)</f>
        <v>49</v>
      </c>
      <c r="R241" s="13">
        <f>IF('Model inputs'!R197="","",'Model inputs'!R197)</f>
        <v>55</v>
      </c>
      <c r="S241" s="13">
        <f>IF('Model inputs'!S197="","",'Model inputs'!S197)</f>
        <v>61</v>
      </c>
      <c r="T241" s="13">
        <f>IF('Model inputs'!T197="","",'Model inputs'!T197)</f>
        <v>64</v>
      </c>
      <c r="U241" s="13">
        <f>IF('Model inputs'!U197="","",'Model inputs'!U197)</f>
        <v>70</v>
      </c>
      <c r="V241" s="13">
        <f>IF('Model inputs'!V197="","",'Model inputs'!V197)</f>
        <v>76</v>
      </c>
      <c r="W241" s="13">
        <f>IF('Model inputs'!W197="","",'Model inputs'!W197)</f>
        <v>79</v>
      </c>
      <c r="X241" s="13">
        <f>IF('Model inputs'!X197="","",'Model inputs'!X197)</f>
        <v>85</v>
      </c>
    </row>
    <row r="242" outlineLevel="1">
      <c r="A242" t="inlineStr" s="22">
        <is>
          <t xml:space="preserve">Compute spend &gt; Free</t>
        </is>
      </c>
      <c r="L242" s="10">
        <f>'Monthly forecast and cash'!B19</f>
        <v>0</v>
      </c>
      <c r="M242" s="10">
        <f>'Model inputs'!M266*'Model inputs'!C260</f>
        <v>25</v>
      </c>
      <c r="N242" s="10">
        <f>'Model inputs'!N266*'Model inputs'!C260</f>
        <v>25</v>
      </c>
      <c r="O242" s="10">
        <f>'Model inputs'!O266*'Model inputs'!C260</f>
        <v>25</v>
      </c>
      <c r="P242" s="10">
        <f>'Model inputs'!P266*'Model inputs'!C260</f>
        <v>25</v>
      </c>
      <c r="Q242" s="10">
        <f>'Model inputs'!Q266*'Model inputs'!C260</f>
        <v>25</v>
      </c>
      <c r="R242" s="10">
        <f>'Model inputs'!R266*'Model inputs'!C260</f>
        <v>25</v>
      </c>
      <c r="S242" s="10">
        <f>'Model inputs'!S266*'Model inputs'!C260</f>
        <v>25</v>
      </c>
      <c r="T242" s="10">
        <f>'Model inputs'!T266*'Model inputs'!C260</f>
        <v>25</v>
      </c>
      <c r="U242" s="10">
        <f>'Model inputs'!U266*'Model inputs'!C260</f>
        <v>25</v>
      </c>
      <c r="V242" s="10">
        <f>'Model inputs'!V266*'Model inputs'!C260</f>
        <v>25</v>
      </c>
      <c r="W242" s="10">
        <f>'Model inputs'!W266*'Model inputs'!C260</f>
        <v>25</v>
      </c>
      <c r="X242" s="10">
        <f>'Model inputs'!X266*'Model inputs'!C260</f>
        <v>25</v>
      </c>
    </row>
    <row r="243" outlineLevel="1">
      <c r="A243" t="inlineStr" s="22">
        <is>
          <t xml:space="preserve">Compute spend &gt; Team</t>
        </is>
      </c>
      <c r="L243" s="10">
        <f>'Monthly forecast and cash'!B20</f>
        <v>0</v>
      </c>
      <c r="M243" s="10">
        <f>'Model inputs'!M267*'Model inputs'!C260</f>
        <v>6</v>
      </c>
      <c r="N243" s="10">
        <f>'Model inputs'!N267*'Model inputs'!C260</f>
        <v>9</v>
      </c>
      <c r="O243" s="10">
        <f>'Model inputs'!O267*'Model inputs'!C260</f>
        <v>15</v>
      </c>
      <c r="P243" s="10">
        <f>'Model inputs'!P267*'Model inputs'!C260</f>
        <v>21</v>
      </c>
      <c r="Q243" s="10">
        <f>'Model inputs'!Q267*'Model inputs'!C260</f>
        <v>24</v>
      </c>
      <c r="R243" s="10">
        <f>'Model inputs'!R267*'Model inputs'!C260</f>
        <v>30</v>
      </c>
      <c r="S243" s="10">
        <f>'Model inputs'!S267*'Model inputs'!C260</f>
        <v>36</v>
      </c>
      <c r="T243" s="10">
        <f>'Model inputs'!T267*'Model inputs'!C260</f>
        <v>39</v>
      </c>
      <c r="U243" s="10">
        <f>'Model inputs'!U267*'Model inputs'!C260</f>
        <v>45</v>
      </c>
      <c r="V243" s="10">
        <f>'Model inputs'!V267*'Model inputs'!C260</f>
        <v>51</v>
      </c>
      <c r="W243" s="10">
        <f>'Model inputs'!W267*'Model inputs'!C260</f>
        <v>54</v>
      </c>
      <c r="X243" s="10">
        <f>'Model inputs'!X267*'Model inputs'!C260</f>
        <v>60</v>
      </c>
    </row>
    <row r="244">
      <c r="A244" t="inlineStr" s="21">
        <is>
          <t xml:space="preserve">Compute spend</t>
        </is>
      </c>
      <c r="L244" s="13">
        <f>IF('Model inputs'!L198="","",'Model inputs'!L198)</f>
        <v>0</v>
      </c>
      <c r="M244" s="13">
        <f>IF('Model inputs'!M198="","",'Model inputs'!M198)</f>
        <v>100</v>
      </c>
      <c r="N244" s="13">
        <f>IF('Model inputs'!N198="","",'Model inputs'!N198)</f>
        <v>175</v>
      </c>
      <c r="O244" s="13">
        <f>IF('Model inputs'!O198="","",'Model inputs'!O198)</f>
        <v>250</v>
      </c>
      <c r="P244" s="13">
        <f>IF('Model inputs'!P198="","",'Model inputs'!P198)</f>
        <v>325</v>
      </c>
      <c r="Q244" s="13">
        <f>IF('Model inputs'!Q198="","",'Model inputs'!Q198)</f>
        <v>400</v>
      </c>
      <c r="R244" s="13">
        <f>IF('Model inputs'!R198="","",'Model inputs'!R198)</f>
        <v>475</v>
      </c>
      <c r="S244" s="13">
        <f>IF('Model inputs'!S198="","",'Model inputs'!S198)</f>
        <v>550</v>
      </c>
      <c r="T244" s="13">
        <f>IF('Model inputs'!T198="","",'Model inputs'!T198)</f>
        <v>625</v>
      </c>
      <c r="U244" s="13">
        <f>IF('Model inputs'!U198="","",'Model inputs'!U198)</f>
        <v>700</v>
      </c>
      <c r="V244" s="13">
        <f>IF('Model inputs'!V198="","",'Model inputs'!V198)</f>
        <v>775</v>
      </c>
      <c r="W244" s="13">
        <f>IF('Model inputs'!W198="","",'Model inputs'!W198)</f>
        <v>850</v>
      </c>
      <c r="X244" s="13">
        <f>IF('Model inputs'!X198="","",'Model inputs'!X198)</f>
        <v>925</v>
      </c>
    </row>
    <row r="245" outlineLevel="1">
      <c r="A245" t="inlineStr" s="22">
        <is>
          <t xml:space="preserve">Compute spend &gt; Free</t>
        </is>
      </c>
      <c r="L245" s="10">
        <f>'Monthly forecast and cash'!B19</f>
        <v>0</v>
      </c>
      <c r="M245" s="10">
        <f>'Model inputs'!M269*'Model inputs'!C261</f>
        <v>25</v>
      </c>
      <c r="N245" s="10">
        <f>'Model inputs'!N269*'Model inputs'!C261</f>
        <v>25</v>
      </c>
      <c r="O245" s="10">
        <f>'Model inputs'!O269*'Model inputs'!C261</f>
        <v>25</v>
      </c>
      <c r="P245" s="10">
        <f>'Model inputs'!P269*'Model inputs'!C261</f>
        <v>25</v>
      </c>
      <c r="Q245" s="10">
        <f>'Model inputs'!Q269*'Model inputs'!C261</f>
        <v>25</v>
      </c>
      <c r="R245" s="10">
        <f>'Model inputs'!R269*'Model inputs'!C261</f>
        <v>25</v>
      </c>
      <c r="S245" s="10">
        <f>'Model inputs'!S269*'Model inputs'!C261</f>
        <v>25</v>
      </c>
      <c r="T245" s="10">
        <f>'Model inputs'!T269*'Model inputs'!C261</f>
        <v>25</v>
      </c>
      <c r="U245" s="10">
        <f>'Model inputs'!U269*'Model inputs'!C261</f>
        <v>25</v>
      </c>
      <c r="V245" s="10">
        <f>'Model inputs'!V269*'Model inputs'!C261</f>
        <v>25</v>
      </c>
      <c r="W245" s="10">
        <f>'Model inputs'!W269*'Model inputs'!C261</f>
        <v>25</v>
      </c>
      <c r="X245" s="10">
        <f>'Model inputs'!X269*'Model inputs'!C261</f>
        <v>25</v>
      </c>
    </row>
    <row r="246" outlineLevel="1">
      <c r="A246" t="inlineStr" s="22">
        <is>
          <t xml:space="preserve">Compute spend &gt; Team</t>
        </is>
      </c>
      <c r="L246" s="10">
        <f>'Monthly forecast and cash'!B20</f>
        <v>0</v>
      </c>
      <c r="M246" s="10">
        <f>'Model inputs'!M270*'Model inputs'!C261</f>
        <v>75</v>
      </c>
      <c r="N246" s="10">
        <f>'Model inputs'!N270*'Model inputs'!C261</f>
        <v>150</v>
      </c>
      <c r="O246" s="10">
        <f>'Model inputs'!O270*'Model inputs'!C261</f>
        <v>225</v>
      </c>
      <c r="P246" s="10">
        <f>'Model inputs'!P270*'Model inputs'!C261</f>
        <v>300</v>
      </c>
      <c r="Q246" s="10">
        <f>'Model inputs'!Q270*'Model inputs'!C261</f>
        <v>375</v>
      </c>
      <c r="R246" s="10">
        <f>'Model inputs'!R270*'Model inputs'!C261</f>
        <v>450</v>
      </c>
      <c r="S246" s="10">
        <f>'Model inputs'!S270*'Model inputs'!C261</f>
        <v>525</v>
      </c>
      <c r="T246" s="10">
        <f>'Model inputs'!T270*'Model inputs'!C261</f>
        <v>600</v>
      </c>
      <c r="U246" s="10">
        <f>'Model inputs'!U270*'Model inputs'!C261</f>
        <v>675</v>
      </c>
      <c r="V246" s="10">
        <f>'Model inputs'!V270*'Model inputs'!C261</f>
        <v>750</v>
      </c>
      <c r="W246" s="10">
        <f>'Model inputs'!W270*'Model inputs'!C261</f>
        <v>825</v>
      </c>
      <c r="X246" s="10">
        <f>'Model inputs'!X270*'Model inputs'!C261</f>
        <v>900</v>
      </c>
    </row>
    <row r="247">
      <c r="A247" t="inlineStr" s="21">
        <is>
          <t xml:space="preserve">Fixed hosting · Hosting expense · AgentBisect — 100 teams at month 12 · AgentBisect — 100 teams at month 12</t>
        </is>
      </c>
      <c r="C247" s="10">
        <f>'Editable assumptions'!B8</f>
        <v>300</v>
      </c>
    </row>
    <row r="248">
      <c r="A248" t="inlineStr" s="21">
        <is>
          <t xml:space="preserve">Fixed hosting · Hosting expense · AgentBisect — 20 teams at month 12 · AgentBisect — 20 teams at month 12</t>
        </is>
      </c>
      <c r="C248" s="10">
        <f>'Editable assumptions'!B8</f>
        <v>300</v>
      </c>
    </row>
    <row r="249">
      <c r="A249" t="inlineStr" s="21">
        <is>
          <t xml:space="preserve">Fixed hosting · Hosting expense · AgentBisect — 300 teams at month 12 · AgentBisect — 300 teams at month 12</t>
        </is>
      </c>
      <c r="C249" s="10">
        <f>'Editable assumptions'!B8</f>
        <v>300</v>
      </c>
    </row>
    <row r="250">
      <c r="A250" t="inlineStr" s="21">
        <is>
          <t xml:space="preserve">Model spend</t>
        </is>
      </c>
      <c r="L250" s="13">
        <f>IF('Model inputs'!L214="","",'Model inputs'!L214)</f>
        <v>0</v>
      </c>
      <c r="M250" s="13">
        <f>IF('Model inputs'!M214="","",'Model inputs'!M214)</f>
        <v>245</v>
      </c>
      <c r="N250" s="13">
        <f>IF('Model inputs'!N214="","",'Model inputs'!N214)</f>
        <v>380</v>
      </c>
      <c r="O250" s="13">
        <f>IF('Model inputs'!O214="","",'Model inputs'!O214)</f>
        <v>500</v>
      </c>
      <c r="P250" s="13">
        <f>IF('Model inputs'!P214="","",'Model inputs'!P214)</f>
        <v>620</v>
      </c>
      <c r="Q250" s="13">
        <f>IF('Model inputs'!Q214="","",'Model inputs'!Q214)</f>
        <v>755</v>
      </c>
      <c r="R250" s="13">
        <f>IF('Model inputs'!R214="","",'Model inputs'!R214)</f>
        <v>875</v>
      </c>
      <c r="S250" s="13">
        <f>IF('Model inputs'!S214="","",'Model inputs'!S214)</f>
        <v>995</v>
      </c>
      <c r="T250" s="13">
        <f>IF('Model inputs'!T214="","",'Model inputs'!T214)</f>
        <v>1130</v>
      </c>
      <c r="U250" s="13">
        <f>IF('Model inputs'!U214="","",'Model inputs'!U214)</f>
        <v>1250</v>
      </c>
      <c r="V250" s="13">
        <f>IF('Model inputs'!V214="","",'Model inputs'!V214)</f>
        <v>1370</v>
      </c>
      <c r="W250" s="13">
        <f>IF('Model inputs'!W214="","",'Model inputs'!W214)</f>
        <v>1505</v>
      </c>
      <c r="X250" s="13">
        <f>IF('Model inputs'!X214="","",'Model inputs'!X214)</f>
        <v>1625</v>
      </c>
    </row>
    <row r="251" outlineLevel="1">
      <c r="A251" t="inlineStr" s="22">
        <is>
          <t xml:space="preserve">Model spend &gt; Free</t>
        </is>
      </c>
      <c r="L251" s="10">
        <f>'Monthly forecast and cash'!B16</f>
        <v>0</v>
      </c>
      <c r="M251" s="10">
        <f>'Model inputs'!M263*'Model inputs'!C271</f>
        <v>125</v>
      </c>
      <c r="N251" s="10">
        <f>'Model inputs'!N263*'Model inputs'!C271</f>
        <v>125</v>
      </c>
      <c r="O251" s="10">
        <f>'Model inputs'!O263*'Model inputs'!C271</f>
        <v>125</v>
      </c>
      <c r="P251" s="10">
        <f>'Model inputs'!P263*'Model inputs'!C271</f>
        <v>125</v>
      </c>
      <c r="Q251" s="10">
        <f>'Model inputs'!Q263*'Model inputs'!C271</f>
        <v>125</v>
      </c>
      <c r="R251" s="10">
        <f>'Model inputs'!R263*'Model inputs'!C271</f>
        <v>125</v>
      </c>
      <c r="S251" s="10">
        <f>'Model inputs'!S263*'Model inputs'!C271</f>
        <v>125</v>
      </c>
      <c r="T251" s="10">
        <f>'Model inputs'!T263*'Model inputs'!C271</f>
        <v>125</v>
      </c>
      <c r="U251" s="10">
        <f>'Model inputs'!U263*'Model inputs'!C271</f>
        <v>125</v>
      </c>
      <c r="V251" s="10">
        <f>'Model inputs'!V263*'Model inputs'!C271</f>
        <v>125</v>
      </c>
      <c r="W251" s="10">
        <f>'Model inputs'!W263*'Model inputs'!C271</f>
        <v>125</v>
      </c>
      <c r="X251" s="10">
        <f>'Model inputs'!X263*'Model inputs'!C271</f>
        <v>125</v>
      </c>
    </row>
    <row r="252" outlineLevel="1">
      <c r="A252" t="inlineStr" s="22">
        <is>
          <t xml:space="preserve">Model spend &gt; Team</t>
        </is>
      </c>
      <c r="L252" s="10">
        <f>'Monthly forecast and cash'!B17</f>
        <v>0</v>
      </c>
      <c r="M252" s="10">
        <f>'Model inputs'!M264*'Model inputs'!C271</f>
        <v>120</v>
      </c>
      <c r="N252" s="10">
        <f>'Model inputs'!N264*'Model inputs'!C271</f>
        <v>255</v>
      </c>
      <c r="O252" s="10">
        <f>'Model inputs'!O264*'Model inputs'!C271</f>
        <v>375</v>
      </c>
      <c r="P252" s="10">
        <f>'Model inputs'!P264*'Model inputs'!C271</f>
        <v>495</v>
      </c>
      <c r="Q252" s="10">
        <f>'Model inputs'!Q264*'Model inputs'!C271</f>
        <v>630</v>
      </c>
      <c r="R252" s="10">
        <f>'Model inputs'!R264*'Model inputs'!C271</f>
        <v>750</v>
      </c>
      <c r="S252" s="10">
        <f>'Model inputs'!S264*'Model inputs'!C271</f>
        <v>870</v>
      </c>
      <c r="T252" s="10">
        <f>'Model inputs'!T264*'Model inputs'!C271</f>
        <v>1005</v>
      </c>
      <c r="U252" s="10">
        <f>'Model inputs'!U264*'Model inputs'!C271</f>
        <v>1125</v>
      </c>
      <c r="V252" s="10">
        <f>'Model inputs'!V264*'Model inputs'!C271</f>
        <v>1245</v>
      </c>
      <c r="W252" s="10">
        <f>'Model inputs'!W264*'Model inputs'!C271</f>
        <v>1380</v>
      </c>
      <c r="X252" s="10">
        <f>'Model inputs'!X264*'Model inputs'!C271</f>
        <v>1500</v>
      </c>
    </row>
    <row r="253">
      <c r="A253" t="inlineStr" s="21">
        <is>
          <t xml:space="preserve">Model spend</t>
        </is>
      </c>
      <c r="L253" s="13">
        <f>IF('Model inputs'!L215="","",'Model inputs'!L215)</f>
        <v>0</v>
      </c>
      <c r="M253" s="13">
        <f>IF('Model inputs'!M215="","",'Model inputs'!M215)</f>
        <v>155</v>
      </c>
      <c r="N253" s="13">
        <f>IF('Model inputs'!N215="","",'Model inputs'!N215)</f>
        <v>170</v>
      </c>
      <c r="O253" s="13">
        <f>IF('Model inputs'!O215="","",'Model inputs'!O215)</f>
        <v>200</v>
      </c>
      <c r="P253" s="13">
        <f>IF('Model inputs'!P215="","",'Model inputs'!P215)</f>
        <v>230</v>
      </c>
      <c r="Q253" s="13">
        <f>IF('Model inputs'!Q215="","",'Model inputs'!Q215)</f>
        <v>245</v>
      </c>
      <c r="R253" s="13">
        <f>IF('Model inputs'!R215="","",'Model inputs'!R215)</f>
        <v>275</v>
      </c>
      <c r="S253" s="13">
        <f>IF('Model inputs'!S215="","",'Model inputs'!S215)</f>
        <v>305</v>
      </c>
      <c r="T253" s="13">
        <f>IF('Model inputs'!T215="","",'Model inputs'!T215)</f>
        <v>320</v>
      </c>
      <c r="U253" s="13">
        <f>IF('Model inputs'!U215="","",'Model inputs'!U215)</f>
        <v>350</v>
      </c>
      <c r="V253" s="13">
        <f>IF('Model inputs'!V215="","",'Model inputs'!V215)</f>
        <v>380</v>
      </c>
      <c r="W253" s="13">
        <f>IF('Model inputs'!W215="","",'Model inputs'!W215)</f>
        <v>395</v>
      </c>
      <c r="X253" s="13">
        <f>IF('Model inputs'!X215="","",'Model inputs'!X215)</f>
        <v>425</v>
      </c>
    </row>
    <row r="254" outlineLevel="1">
      <c r="A254" t="inlineStr" s="22">
        <is>
          <t xml:space="preserve">Model spend &gt; Free</t>
        </is>
      </c>
      <c r="L254" s="10">
        <f>'Monthly forecast and cash'!B16</f>
        <v>0</v>
      </c>
      <c r="M254" s="10">
        <f>'Model inputs'!M266*'Model inputs'!C272</f>
        <v>125</v>
      </c>
      <c r="N254" s="10">
        <f>'Model inputs'!N266*'Model inputs'!C272</f>
        <v>125</v>
      </c>
      <c r="O254" s="10">
        <f>'Model inputs'!O266*'Model inputs'!C272</f>
        <v>125</v>
      </c>
      <c r="P254" s="10">
        <f>'Model inputs'!P266*'Model inputs'!C272</f>
        <v>125</v>
      </c>
      <c r="Q254" s="10">
        <f>'Model inputs'!Q266*'Model inputs'!C272</f>
        <v>125</v>
      </c>
      <c r="R254" s="10">
        <f>'Model inputs'!R266*'Model inputs'!C272</f>
        <v>125</v>
      </c>
      <c r="S254" s="10">
        <f>'Model inputs'!S266*'Model inputs'!C272</f>
        <v>125</v>
      </c>
      <c r="T254" s="10">
        <f>'Model inputs'!T266*'Model inputs'!C272</f>
        <v>125</v>
      </c>
      <c r="U254" s="10">
        <f>'Model inputs'!U266*'Model inputs'!C272</f>
        <v>125</v>
      </c>
      <c r="V254" s="10">
        <f>'Model inputs'!V266*'Model inputs'!C272</f>
        <v>125</v>
      </c>
      <c r="W254" s="10">
        <f>'Model inputs'!W266*'Model inputs'!C272</f>
        <v>125</v>
      </c>
      <c r="X254" s="10">
        <f>'Model inputs'!X266*'Model inputs'!C272</f>
        <v>125</v>
      </c>
    </row>
    <row r="255" outlineLevel="1">
      <c r="A255" t="inlineStr" s="22">
        <is>
          <t xml:space="preserve">Model spend &gt; Team</t>
        </is>
      </c>
      <c r="L255" s="10">
        <f>'Monthly forecast and cash'!B17</f>
        <v>0</v>
      </c>
      <c r="M255" s="10">
        <f>'Model inputs'!M267*'Model inputs'!C272</f>
        <v>30</v>
      </c>
      <c r="N255" s="10">
        <f>'Model inputs'!N267*'Model inputs'!C272</f>
        <v>45</v>
      </c>
      <c r="O255" s="10">
        <f>'Model inputs'!O267*'Model inputs'!C272</f>
        <v>75</v>
      </c>
      <c r="P255" s="10">
        <f>'Model inputs'!P267*'Model inputs'!C272</f>
        <v>105</v>
      </c>
      <c r="Q255" s="10">
        <f>'Model inputs'!Q267*'Model inputs'!C272</f>
        <v>120</v>
      </c>
      <c r="R255" s="10">
        <f>'Model inputs'!R267*'Model inputs'!C272</f>
        <v>150</v>
      </c>
      <c r="S255" s="10">
        <f>'Model inputs'!S267*'Model inputs'!C272</f>
        <v>180</v>
      </c>
      <c r="T255" s="10">
        <f>'Model inputs'!T267*'Model inputs'!C272</f>
        <v>195</v>
      </c>
      <c r="U255" s="10">
        <f>'Model inputs'!U267*'Model inputs'!C272</f>
        <v>225</v>
      </c>
      <c r="V255" s="10">
        <f>'Model inputs'!V267*'Model inputs'!C272</f>
        <v>255</v>
      </c>
      <c r="W255" s="10">
        <f>'Model inputs'!W267*'Model inputs'!C272</f>
        <v>270</v>
      </c>
      <c r="X255" s="10">
        <f>'Model inputs'!X267*'Model inputs'!C272</f>
        <v>300</v>
      </c>
    </row>
    <row r="256">
      <c r="A256" t="inlineStr" s="21">
        <is>
          <t xml:space="preserve">Model spend</t>
        </is>
      </c>
      <c r="L256" s="13">
        <f>IF('Model inputs'!L216="","",'Model inputs'!L216)</f>
        <v>0</v>
      </c>
      <c r="M256" s="13">
        <f>IF('Model inputs'!M216="","",'Model inputs'!M216)</f>
        <v>500</v>
      </c>
      <c r="N256" s="13">
        <f>IF('Model inputs'!N216="","",'Model inputs'!N216)</f>
        <v>875</v>
      </c>
      <c r="O256" s="13">
        <f>IF('Model inputs'!O216="","",'Model inputs'!O216)</f>
        <v>1250</v>
      </c>
      <c r="P256" s="13">
        <f>IF('Model inputs'!P216="","",'Model inputs'!P216)</f>
        <v>1625</v>
      </c>
      <c r="Q256" s="13">
        <f>IF('Model inputs'!Q216="","",'Model inputs'!Q216)</f>
        <v>2000</v>
      </c>
      <c r="R256" s="13">
        <f>IF('Model inputs'!R216="","",'Model inputs'!R216)</f>
        <v>2375</v>
      </c>
      <c r="S256" s="13">
        <f>IF('Model inputs'!S216="","",'Model inputs'!S216)</f>
        <v>2750</v>
      </c>
      <c r="T256" s="13">
        <f>IF('Model inputs'!T216="","",'Model inputs'!T216)</f>
        <v>3125</v>
      </c>
      <c r="U256" s="13">
        <f>IF('Model inputs'!U216="","",'Model inputs'!U216)</f>
        <v>3500</v>
      </c>
      <c r="V256" s="13">
        <f>IF('Model inputs'!V216="","",'Model inputs'!V216)</f>
        <v>3875</v>
      </c>
      <c r="W256" s="13">
        <f>IF('Model inputs'!W216="","",'Model inputs'!W216)</f>
        <v>4250</v>
      </c>
      <c r="X256" s="13">
        <f>IF('Model inputs'!X216="","",'Model inputs'!X216)</f>
        <v>4625</v>
      </c>
    </row>
    <row r="257" outlineLevel="1">
      <c r="A257" t="inlineStr" s="22">
        <is>
          <t xml:space="preserve">Model spend &gt; Free</t>
        </is>
      </c>
      <c r="L257" s="10">
        <f>'Monthly forecast and cash'!B16</f>
        <v>0</v>
      </c>
      <c r="M257" s="10">
        <f>'Model inputs'!M269*'Model inputs'!C273</f>
        <v>125</v>
      </c>
      <c r="N257" s="10">
        <f>'Model inputs'!N269*'Model inputs'!C273</f>
        <v>125</v>
      </c>
      <c r="O257" s="10">
        <f>'Model inputs'!O269*'Model inputs'!C273</f>
        <v>125</v>
      </c>
      <c r="P257" s="10">
        <f>'Model inputs'!P269*'Model inputs'!C273</f>
        <v>125</v>
      </c>
      <c r="Q257" s="10">
        <f>'Model inputs'!Q269*'Model inputs'!C273</f>
        <v>125</v>
      </c>
      <c r="R257" s="10">
        <f>'Model inputs'!R269*'Model inputs'!C273</f>
        <v>125</v>
      </c>
      <c r="S257" s="10">
        <f>'Model inputs'!S269*'Model inputs'!C273</f>
        <v>125</v>
      </c>
      <c r="T257" s="10">
        <f>'Model inputs'!T269*'Model inputs'!C273</f>
        <v>125</v>
      </c>
      <c r="U257" s="10">
        <f>'Model inputs'!U269*'Model inputs'!C273</f>
        <v>125</v>
      </c>
      <c r="V257" s="10">
        <f>'Model inputs'!V269*'Model inputs'!C273</f>
        <v>125</v>
      </c>
      <c r="W257" s="10">
        <f>'Model inputs'!W269*'Model inputs'!C273</f>
        <v>125</v>
      </c>
      <c r="X257" s="10">
        <f>'Model inputs'!X269*'Model inputs'!C273</f>
        <v>125</v>
      </c>
    </row>
    <row r="258" outlineLevel="1">
      <c r="A258" t="inlineStr" s="22">
        <is>
          <t xml:space="preserve">Model spend &gt; Team</t>
        </is>
      </c>
      <c r="L258" s="10">
        <f>'Monthly forecast and cash'!B17</f>
        <v>0</v>
      </c>
      <c r="M258" s="10">
        <f>'Model inputs'!M270*'Model inputs'!C273</f>
        <v>375</v>
      </c>
      <c r="N258" s="10">
        <f>'Model inputs'!N270*'Model inputs'!C273</f>
        <v>750</v>
      </c>
      <c r="O258" s="10">
        <f>'Model inputs'!O270*'Model inputs'!C273</f>
        <v>1125</v>
      </c>
      <c r="P258" s="10">
        <f>'Model inputs'!P270*'Model inputs'!C273</f>
        <v>1500</v>
      </c>
      <c r="Q258" s="10">
        <f>'Model inputs'!Q270*'Model inputs'!C273</f>
        <v>1875</v>
      </c>
      <c r="R258" s="10">
        <f>'Model inputs'!R270*'Model inputs'!C273</f>
        <v>2250</v>
      </c>
      <c r="S258" s="10">
        <f>'Model inputs'!S270*'Model inputs'!C273</f>
        <v>2625</v>
      </c>
      <c r="T258" s="10">
        <f>'Model inputs'!T270*'Model inputs'!C273</f>
        <v>3000</v>
      </c>
      <c r="U258" s="10">
        <f>'Model inputs'!U270*'Model inputs'!C273</f>
        <v>3375</v>
      </c>
      <c r="V258" s="10">
        <f>'Model inputs'!V270*'Model inputs'!C273</f>
        <v>3750</v>
      </c>
      <c r="W258" s="10">
        <f>'Model inputs'!W270*'Model inputs'!C273</f>
        <v>4125</v>
      </c>
      <c r="X258" s="10">
        <f>'Model inputs'!X270*'Model inputs'!C273</f>
        <v>4500</v>
      </c>
    </row>
    <row r="259">
      <c r="A259" t="inlineStr" s="21">
        <is>
          <t xml:space="preserve">Compute cost per investigation · Compute spend · AgentBisect — 100 teams at month 12 · AgentBisect — 100 teams at month 12</t>
        </is>
      </c>
      <c r="C259" s="8">
        <f>'Editable assumptions'!B6</f>
        <v>0.05</v>
      </c>
    </row>
    <row r="260">
      <c r="A260" t="inlineStr" s="21">
        <is>
          <t xml:space="preserve">Compute cost per investigation · Compute spend · AgentBisect — 20 teams at month 12 · AgentBisect — 20 teams at month 12</t>
        </is>
      </c>
      <c r="C260" s="8">
        <f>'Editable assumptions'!B6</f>
        <v>0.05</v>
      </c>
    </row>
    <row r="261">
      <c r="A261" t="inlineStr" s="21">
        <is>
          <t xml:space="preserve">Compute cost per investigation · Compute spend · AgentBisect — 300 teams at month 12 · AgentBisect — 300 teams at month 12</t>
        </is>
      </c>
      <c r="C261" s="8">
        <f>'Editable assumptions'!B6</f>
        <v>0.05</v>
      </c>
    </row>
    <row r="262">
      <c r="A262" t="inlineStr" s="21">
        <is>
          <t xml:space="preserve">Investigations</t>
        </is>
      </c>
      <c r="L262" s="12">
        <f>SUM('Model inputs'!L263,'Model inputs'!L264)</f>
        <v>0</v>
      </c>
      <c r="M262" s="12">
        <f>SUM('Model inputs'!M263,'Model inputs'!M264)</f>
        <v>980</v>
      </c>
      <c r="N262" s="12">
        <f>SUM('Model inputs'!N263,'Model inputs'!N264)</f>
        <v>1520</v>
      </c>
      <c r="O262" s="12">
        <f>SUM('Model inputs'!O263,'Model inputs'!O264)</f>
        <v>2000</v>
      </c>
      <c r="P262" s="12">
        <f>SUM('Model inputs'!P263,'Model inputs'!P264)</f>
        <v>2480</v>
      </c>
      <c r="Q262" s="12">
        <f>SUM('Model inputs'!Q263,'Model inputs'!Q264)</f>
        <v>3020</v>
      </c>
      <c r="R262" s="12">
        <f>SUM('Model inputs'!R263,'Model inputs'!R264)</f>
        <v>3500</v>
      </c>
      <c r="S262" s="12">
        <f>SUM('Model inputs'!S263,'Model inputs'!S264)</f>
        <v>3980</v>
      </c>
      <c r="T262" s="12">
        <f>SUM('Model inputs'!T263,'Model inputs'!T264)</f>
        <v>4520</v>
      </c>
      <c r="U262" s="12">
        <f>SUM('Model inputs'!U263,'Model inputs'!U264)</f>
        <v>5000</v>
      </c>
      <c r="V262" s="12">
        <f>SUM('Model inputs'!V263,'Model inputs'!V264)</f>
        <v>5480</v>
      </c>
      <c r="W262" s="12">
        <f>SUM('Model inputs'!W263,'Model inputs'!W264)</f>
        <v>6020</v>
      </c>
      <c r="X262" s="12">
        <f>SUM('Model inputs'!X263,'Model inputs'!X264)</f>
        <v>6500</v>
      </c>
    </row>
    <row r="263" outlineLevel="1">
      <c r="A263" t="inlineStr" s="22">
        <is>
          <t xml:space="preserve">Investigations &gt; Free</t>
        </is>
      </c>
      <c r="L263" s="9">
        <f>'Monthly forecast and cash'!B10</f>
        <v>0</v>
      </c>
      <c r="M263" s="9">
        <f>IF(IF(EXACT("Free","Team"),IF('Model inputs'!M138="","",'Model inputs'!M138),IF('Model inputs'!M168="","",'Model inputs'!M168))="",0,IF(EXACT("Free","Team"),IF('Model inputs'!M138="","",'Model inputs'!M138),IF('Model inputs'!M168="","",'Model inputs'!M168)))*'Model inputs'!C188</f>
        <v>500</v>
      </c>
      <c r="N263" s="9">
        <f>IF(IF(EXACT("Free","Team"),IF('Model inputs'!N138="","",'Model inputs'!N138),IF('Model inputs'!N168="","",'Model inputs'!N168))="",0,IF(EXACT("Free","Team"),IF('Model inputs'!N138="","",'Model inputs'!N138),IF('Model inputs'!N168="","",'Model inputs'!N168)))*'Model inputs'!C188</f>
        <v>500</v>
      </c>
      <c r="O263" s="9">
        <f>IF(IF(EXACT("Free","Team"),IF('Model inputs'!O138="","",'Model inputs'!O138),IF('Model inputs'!O168="","",'Model inputs'!O168))="",0,IF(EXACT("Free","Team"),IF('Model inputs'!O138="","",'Model inputs'!O138),IF('Model inputs'!O168="","",'Model inputs'!O168)))*'Model inputs'!C188</f>
        <v>500</v>
      </c>
      <c r="P263" s="9">
        <f>IF(IF(EXACT("Free","Team"),IF('Model inputs'!P138="","",'Model inputs'!P138),IF('Model inputs'!P168="","",'Model inputs'!P168))="",0,IF(EXACT("Free","Team"),IF('Model inputs'!P138="","",'Model inputs'!P138),IF('Model inputs'!P168="","",'Model inputs'!P168)))*'Model inputs'!C188</f>
        <v>500</v>
      </c>
      <c r="Q263" s="9">
        <f>IF(IF(EXACT("Free","Team"),IF('Model inputs'!Q138="","",'Model inputs'!Q138),IF('Model inputs'!Q168="","",'Model inputs'!Q168))="",0,IF(EXACT("Free","Team"),IF('Model inputs'!Q138="","",'Model inputs'!Q138),IF('Model inputs'!Q168="","",'Model inputs'!Q168)))*'Model inputs'!C188</f>
        <v>500</v>
      </c>
      <c r="R263" s="9">
        <f>IF(IF(EXACT("Free","Team"),IF('Model inputs'!R138="","",'Model inputs'!R138),IF('Model inputs'!R168="","",'Model inputs'!R168))="",0,IF(EXACT("Free","Team"),IF('Model inputs'!R138="","",'Model inputs'!R138),IF('Model inputs'!R168="","",'Model inputs'!R168)))*'Model inputs'!C188</f>
        <v>500</v>
      </c>
      <c r="S263" s="9">
        <f>IF(IF(EXACT("Free","Team"),IF('Model inputs'!S138="","",'Model inputs'!S138),IF('Model inputs'!S168="","",'Model inputs'!S168))="",0,IF(EXACT("Free","Team"),IF('Model inputs'!S138="","",'Model inputs'!S138),IF('Model inputs'!S168="","",'Model inputs'!S168)))*'Model inputs'!C188</f>
        <v>500</v>
      </c>
      <c r="T263" s="9">
        <f>IF(IF(EXACT("Free","Team"),IF('Model inputs'!T138="","",'Model inputs'!T138),IF('Model inputs'!T168="","",'Model inputs'!T168))="",0,IF(EXACT("Free","Team"),IF('Model inputs'!T138="","",'Model inputs'!T138),IF('Model inputs'!T168="","",'Model inputs'!T168)))*'Model inputs'!C188</f>
        <v>500</v>
      </c>
      <c r="U263" s="9">
        <f>IF(IF(EXACT("Free","Team"),IF('Model inputs'!U138="","",'Model inputs'!U138),IF('Model inputs'!U168="","",'Model inputs'!U168))="",0,IF(EXACT("Free","Team"),IF('Model inputs'!U138="","",'Model inputs'!U138),IF('Model inputs'!U168="","",'Model inputs'!U168)))*'Model inputs'!C188</f>
        <v>500</v>
      </c>
      <c r="V263" s="9">
        <f>IF(IF(EXACT("Free","Team"),IF('Model inputs'!V138="","",'Model inputs'!V138),IF('Model inputs'!V168="","",'Model inputs'!V168))="",0,IF(EXACT("Free","Team"),IF('Model inputs'!V138="","",'Model inputs'!V138),IF('Model inputs'!V168="","",'Model inputs'!V168)))*'Model inputs'!C188</f>
        <v>500</v>
      </c>
      <c r="W263" s="9">
        <f>IF(IF(EXACT("Free","Team"),IF('Model inputs'!W138="","",'Model inputs'!W138),IF('Model inputs'!W168="","",'Model inputs'!W168))="",0,IF(EXACT("Free","Team"),IF('Model inputs'!W138="","",'Model inputs'!W138),IF('Model inputs'!W168="","",'Model inputs'!W168)))*'Model inputs'!C188</f>
        <v>500</v>
      </c>
      <c r="X263" s="9">
        <f>IF(IF(EXACT("Free","Team"),IF('Model inputs'!X138="","",'Model inputs'!X138),IF('Model inputs'!X168="","",'Model inputs'!X168))="",0,IF(EXACT("Free","Team"),IF('Model inputs'!X138="","",'Model inputs'!X138),IF('Model inputs'!X168="","",'Model inputs'!X168)))*'Model inputs'!C188</f>
        <v>500</v>
      </c>
    </row>
    <row r="264" outlineLevel="1">
      <c r="A264" t="inlineStr" s="22">
        <is>
          <t xml:space="preserve">Investigations &gt; Team</t>
        </is>
      </c>
      <c r="L264" s="9">
        <f>'Monthly forecast and cash'!B11</f>
        <v>0</v>
      </c>
      <c r="M264" s="9">
        <f>IF(IF(EXACT("Team","Team"),IF('Model inputs'!M138="","",'Model inputs'!M138),IF('Model inputs'!M168="","",'Model inputs'!M168))="",0,IF(EXACT("Team","Team"),IF('Model inputs'!M138="","",'Model inputs'!M138),IF('Model inputs'!M168="","",'Model inputs'!M168)))*'Model inputs'!C189</f>
        <v>480</v>
      </c>
      <c r="N264" s="9">
        <f>IF(IF(EXACT("Team","Team"),IF('Model inputs'!N138="","",'Model inputs'!N138),IF('Model inputs'!N168="","",'Model inputs'!N168))="",0,IF(EXACT("Team","Team"),IF('Model inputs'!N138="","",'Model inputs'!N138),IF('Model inputs'!N168="","",'Model inputs'!N168)))*'Model inputs'!C189</f>
        <v>1020</v>
      </c>
      <c r="O264" s="9">
        <f>IF(IF(EXACT("Team","Team"),IF('Model inputs'!O138="","",'Model inputs'!O138),IF('Model inputs'!O168="","",'Model inputs'!O168))="",0,IF(EXACT("Team","Team"),IF('Model inputs'!O138="","",'Model inputs'!O138),IF('Model inputs'!O168="","",'Model inputs'!O168)))*'Model inputs'!C189</f>
        <v>1500</v>
      </c>
      <c r="P264" s="9">
        <f>IF(IF(EXACT("Team","Team"),IF('Model inputs'!P138="","",'Model inputs'!P138),IF('Model inputs'!P168="","",'Model inputs'!P168))="",0,IF(EXACT("Team","Team"),IF('Model inputs'!P138="","",'Model inputs'!P138),IF('Model inputs'!P168="","",'Model inputs'!P168)))*'Model inputs'!C189</f>
        <v>1980</v>
      </c>
      <c r="Q264" s="9">
        <f>IF(IF(EXACT("Team","Team"),IF('Model inputs'!Q138="","",'Model inputs'!Q138),IF('Model inputs'!Q168="","",'Model inputs'!Q168))="",0,IF(EXACT("Team","Team"),IF('Model inputs'!Q138="","",'Model inputs'!Q138),IF('Model inputs'!Q168="","",'Model inputs'!Q168)))*'Model inputs'!C189</f>
        <v>2520</v>
      </c>
      <c r="R264" s="9">
        <f>IF(IF(EXACT("Team","Team"),IF('Model inputs'!R138="","",'Model inputs'!R138),IF('Model inputs'!R168="","",'Model inputs'!R168))="",0,IF(EXACT("Team","Team"),IF('Model inputs'!R138="","",'Model inputs'!R138),IF('Model inputs'!R168="","",'Model inputs'!R168)))*'Model inputs'!C189</f>
        <v>3000</v>
      </c>
      <c r="S264" s="9">
        <f>IF(IF(EXACT("Team","Team"),IF('Model inputs'!S138="","",'Model inputs'!S138),IF('Model inputs'!S168="","",'Model inputs'!S168))="",0,IF(EXACT("Team","Team"),IF('Model inputs'!S138="","",'Model inputs'!S138),IF('Model inputs'!S168="","",'Model inputs'!S168)))*'Model inputs'!C189</f>
        <v>3480</v>
      </c>
      <c r="T264" s="9">
        <f>IF(IF(EXACT("Team","Team"),IF('Model inputs'!T138="","",'Model inputs'!T138),IF('Model inputs'!T168="","",'Model inputs'!T168))="",0,IF(EXACT("Team","Team"),IF('Model inputs'!T138="","",'Model inputs'!T138),IF('Model inputs'!T168="","",'Model inputs'!T168)))*'Model inputs'!C189</f>
        <v>4020</v>
      </c>
      <c r="U264" s="9">
        <f>IF(IF(EXACT("Team","Team"),IF('Model inputs'!U138="","",'Model inputs'!U138),IF('Model inputs'!U168="","",'Model inputs'!U168))="",0,IF(EXACT("Team","Team"),IF('Model inputs'!U138="","",'Model inputs'!U138),IF('Model inputs'!U168="","",'Model inputs'!U168)))*'Model inputs'!C189</f>
        <v>4500</v>
      </c>
      <c r="V264" s="9">
        <f>IF(IF(EXACT("Team","Team"),IF('Model inputs'!V138="","",'Model inputs'!V138),IF('Model inputs'!V168="","",'Model inputs'!V168))="",0,IF(EXACT("Team","Team"),IF('Model inputs'!V138="","",'Model inputs'!V138),IF('Model inputs'!V168="","",'Model inputs'!V168)))*'Model inputs'!C189</f>
        <v>4980</v>
      </c>
      <c r="W264" s="9">
        <f>IF(IF(EXACT("Team","Team"),IF('Model inputs'!W138="","",'Model inputs'!W138),IF('Model inputs'!W168="","",'Model inputs'!W168))="",0,IF(EXACT("Team","Team"),IF('Model inputs'!W138="","",'Model inputs'!W138),IF('Model inputs'!W168="","",'Model inputs'!W168)))*'Model inputs'!C189</f>
        <v>5520</v>
      </c>
      <c r="X264" s="9">
        <f>IF(IF(EXACT("Team","Team"),IF('Model inputs'!X138="","",'Model inputs'!X138),IF('Model inputs'!X168="","",'Model inputs'!X168))="",0,IF(EXACT("Team","Team"),IF('Model inputs'!X138="","",'Model inputs'!X138),IF('Model inputs'!X168="","",'Model inputs'!X168)))*'Model inputs'!C189</f>
        <v>6000</v>
      </c>
    </row>
    <row r="265">
      <c r="A265" t="inlineStr" s="21">
        <is>
          <t xml:space="preserve">Investigations</t>
        </is>
      </c>
      <c r="L265" s="12">
        <f>SUM('Model inputs'!L266,'Model inputs'!L267)</f>
        <v>0</v>
      </c>
      <c r="M265" s="12">
        <f>SUM('Model inputs'!M266,'Model inputs'!M267)</f>
        <v>620</v>
      </c>
      <c r="N265" s="12">
        <f>SUM('Model inputs'!N266,'Model inputs'!N267)</f>
        <v>680</v>
      </c>
      <c r="O265" s="12">
        <f>SUM('Model inputs'!O266,'Model inputs'!O267)</f>
        <v>800</v>
      </c>
      <c r="P265" s="12">
        <f>SUM('Model inputs'!P266,'Model inputs'!P267)</f>
        <v>920</v>
      </c>
      <c r="Q265" s="12">
        <f>SUM('Model inputs'!Q266,'Model inputs'!Q267)</f>
        <v>980</v>
      </c>
      <c r="R265" s="12">
        <f>SUM('Model inputs'!R266,'Model inputs'!R267)</f>
        <v>1100</v>
      </c>
      <c r="S265" s="12">
        <f>SUM('Model inputs'!S266,'Model inputs'!S267)</f>
        <v>1220</v>
      </c>
      <c r="T265" s="12">
        <f>SUM('Model inputs'!T266,'Model inputs'!T267)</f>
        <v>1280</v>
      </c>
      <c r="U265" s="12">
        <f>SUM('Model inputs'!U266,'Model inputs'!U267)</f>
        <v>1400</v>
      </c>
      <c r="V265" s="12">
        <f>SUM('Model inputs'!V266,'Model inputs'!V267)</f>
        <v>1520</v>
      </c>
      <c r="W265" s="12">
        <f>SUM('Model inputs'!W266,'Model inputs'!W267)</f>
        <v>1580</v>
      </c>
      <c r="X265" s="12">
        <f>SUM('Model inputs'!X266,'Model inputs'!X267)</f>
        <v>1700</v>
      </c>
    </row>
    <row r="266" outlineLevel="1">
      <c r="A266" t="inlineStr" s="22">
        <is>
          <t xml:space="preserve">Investigations &gt; Free</t>
        </is>
      </c>
      <c r="L266" s="9">
        <f>'Monthly forecast and cash'!B10</f>
        <v>0</v>
      </c>
      <c r="M266" s="9">
        <f>IF(IF(EXACT("Free","Team"),IF('Model inputs'!M139="","",'Model inputs'!M139),IF('Model inputs'!M169="","",'Model inputs'!M169))="",0,IF(EXACT("Free","Team"),IF('Model inputs'!M139="","",'Model inputs'!M139),IF('Model inputs'!M169="","",'Model inputs'!M169)))*'Model inputs'!C191</f>
        <v>500</v>
      </c>
      <c r="N266" s="9">
        <f>IF(IF(EXACT("Free","Team"),IF('Model inputs'!N139="","",'Model inputs'!N139),IF('Model inputs'!N169="","",'Model inputs'!N169))="",0,IF(EXACT("Free","Team"),IF('Model inputs'!N139="","",'Model inputs'!N139),IF('Model inputs'!N169="","",'Model inputs'!N169)))*'Model inputs'!C191</f>
        <v>500</v>
      </c>
      <c r="O266" s="9">
        <f>IF(IF(EXACT("Free","Team"),IF('Model inputs'!O139="","",'Model inputs'!O139),IF('Model inputs'!O169="","",'Model inputs'!O169))="",0,IF(EXACT("Free","Team"),IF('Model inputs'!O139="","",'Model inputs'!O139),IF('Model inputs'!O169="","",'Model inputs'!O169)))*'Model inputs'!C191</f>
        <v>500</v>
      </c>
      <c r="P266" s="9">
        <f>IF(IF(EXACT("Free","Team"),IF('Model inputs'!P139="","",'Model inputs'!P139),IF('Model inputs'!P169="","",'Model inputs'!P169))="",0,IF(EXACT("Free","Team"),IF('Model inputs'!P139="","",'Model inputs'!P139),IF('Model inputs'!P169="","",'Model inputs'!P169)))*'Model inputs'!C191</f>
        <v>500</v>
      </c>
      <c r="Q266" s="9">
        <f>IF(IF(EXACT("Free","Team"),IF('Model inputs'!Q139="","",'Model inputs'!Q139),IF('Model inputs'!Q169="","",'Model inputs'!Q169))="",0,IF(EXACT("Free","Team"),IF('Model inputs'!Q139="","",'Model inputs'!Q139),IF('Model inputs'!Q169="","",'Model inputs'!Q169)))*'Model inputs'!C191</f>
        <v>500</v>
      </c>
      <c r="R266" s="9">
        <f>IF(IF(EXACT("Free","Team"),IF('Model inputs'!R139="","",'Model inputs'!R139),IF('Model inputs'!R169="","",'Model inputs'!R169))="",0,IF(EXACT("Free","Team"),IF('Model inputs'!R139="","",'Model inputs'!R139),IF('Model inputs'!R169="","",'Model inputs'!R169)))*'Model inputs'!C191</f>
        <v>500</v>
      </c>
      <c r="S266" s="9">
        <f>IF(IF(EXACT("Free","Team"),IF('Model inputs'!S139="","",'Model inputs'!S139),IF('Model inputs'!S169="","",'Model inputs'!S169))="",0,IF(EXACT("Free","Team"),IF('Model inputs'!S139="","",'Model inputs'!S139),IF('Model inputs'!S169="","",'Model inputs'!S169)))*'Model inputs'!C191</f>
        <v>500</v>
      </c>
      <c r="T266" s="9">
        <f>IF(IF(EXACT("Free","Team"),IF('Model inputs'!T139="","",'Model inputs'!T139),IF('Model inputs'!T169="","",'Model inputs'!T169))="",0,IF(EXACT("Free","Team"),IF('Model inputs'!T139="","",'Model inputs'!T139),IF('Model inputs'!T169="","",'Model inputs'!T169)))*'Model inputs'!C191</f>
        <v>500</v>
      </c>
      <c r="U266" s="9">
        <f>IF(IF(EXACT("Free","Team"),IF('Model inputs'!U139="","",'Model inputs'!U139),IF('Model inputs'!U169="","",'Model inputs'!U169))="",0,IF(EXACT("Free","Team"),IF('Model inputs'!U139="","",'Model inputs'!U139),IF('Model inputs'!U169="","",'Model inputs'!U169)))*'Model inputs'!C191</f>
        <v>500</v>
      </c>
      <c r="V266" s="9">
        <f>IF(IF(EXACT("Free","Team"),IF('Model inputs'!V139="","",'Model inputs'!V139),IF('Model inputs'!V169="","",'Model inputs'!V169))="",0,IF(EXACT("Free","Team"),IF('Model inputs'!V139="","",'Model inputs'!V139),IF('Model inputs'!V169="","",'Model inputs'!V169)))*'Model inputs'!C191</f>
        <v>500</v>
      </c>
      <c r="W266" s="9">
        <f>IF(IF(EXACT("Free","Team"),IF('Model inputs'!W139="","",'Model inputs'!W139),IF('Model inputs'!W169="","",'Model inputs'!W169))="",0,IF(EXACT("Free","Team"),IF('Model inputs'!W139="","",'Model inputs'!W139),IF('Model inputs'!W169="","",'Model inputs'!W169)))*'Model inputs'!C191</f>
        <v>500</v>
      </c>
      <c r="X266" s="9">
        <f>IF(IF(EXACT("Free","Team"),IF('Model inputs'!X139="","",'Model inputs'!X139),IF('Model inputs'!X169="","",'Model inputs'!X169))="",0,IF(EXACT("Free","Team"),IF('Model inputs'!X139="","",'Model inputs'!X139),IF('Model inputs'!X169="","",'Model inputs'!X169)))*'Model inputs'!C191</f>
        <v>500</v>
      </c>
    </row>
    <row r="267" outlineLevel="1">
      <c r="A267" t="inlineStr" s="22">
        <is>
          <t xml:space="preserve">Investigations &gt; Team</t>
        </is>
      </c>
      <c r="L267" s="9">
        <f>'Monthly forecast and cash'!B11</f>
        <v>0</v>
      </c>
      <c r="M267" s="9">
        <f>IF(IF(EXACT("Team","Team"),IF('Model inputs'!M139="","",'Model inputs'!M139),IF('Model inputs'!M169="","",'Model inputs'!M169))="",0,IF(EXACT("Team","Team"),IF('Model inputs'!M139="","",'Model inputs'!M139),IF('Model inputs'!M169="","",'Model inputs'!M169)))*'Model inputs'!C192</f>
        <v>120</v>
      </c>
      <c r="N267" s="9">
        <f>IF(IF(EXACT("Team","Team"),IF('Model inputs'!N139="","",'Model inputs'!N139),IF('Model inputs'!N169="","",'Model inputs'!N169))="",0,IF(EXACT("Team","Team"),IF('Model inputs'!N139="","",'Model inputs'!N139),IF('Model inputs'!N169="","",'Model inputs'!N169)))*'Model inputs'!C192</f>
        <v>180</v>
      </c>
      <c r="O267" s="9">
        <f>IF(IF(EXACT("Team","Team"),IF('Model inputs'!O139="","",'Model inputs'!O139),IF('Model inputs'!O169="","",'Model inputs'!O169))="",0,IF(EXACT("Team","Team"),IF('Model inputs'!O139="","",'Model inputs'!O139),IF('Model inputs'!O169="","",'Model inputs'!O169)))*'Model inputs'!C192</f>
        <v>300</v>
      </c>
      <c r="P267" s="9">
        <f>IF(IF(EXACT("Team","Team"),IF('Model inputs'!P139="","",'Model inputs'!P139),IF('Model inputs'!P169="","",'Model inputs'!P169))="",0,IF(EXACT("Team","Team"),IF('Model inputs'!P139="","",'Model inputs'!P139),IF('Model inputs'!P169="","",'Model inputs'!P169)))*'Model inputs'!C192</f>
        <v>420</v>
      </c>
      <c r="Q267" s="9">
        <f>IF(IF(EXACT("Team","Team"),IF('Model inputs'!Q139="","",'Model inputs'!Q139),IF('Model inputs'!Q169="","",'Model inputs'!Q169))="",0,IF(EXACT("Team","Team"),IF('Model inputs'!Q139="","",'Model inputs'!Q139),IF('Model inputs'!Q169="","",'Model inputs'!Q169)))*'Model inputs'!C192</f>
        <v>480</v>
      </c>
      <c r="R267" s="9">
        <f>IF(IF(EXACT("Team","Team"),IF('Model inputs'!R139="","",'Model inputs'!R139),IF('Model inputs'!R169="","",'Model inputs'!R169))="",0,IF(EXACT("Team","Team"),IF('Model inputs'!R139="","",'Model inputs'!R139),IF('Model inputs'!R169="","",'Model inputs'!R169)))*'Model inputs'!C192</f>
        <v>600</v>
      </c>
      <c r="S267" s="9">
        <f>IF(IF(EXACT("Team","Team"),IF('Model inputs'!S139="","",'Model inputs'!S139),IF('Model inputs'!S169="","",'Model inputs'!S169))="",0,IF(EXACT("Team","Team"),IF('Model inputs'!S139="","",'Model inputs'!S139),IF('Model inputs'!S169="","",'Model inputs'!S169)))*'Model inputs'!C192</f>
        <v>720</v>
      </c>
      <c r="T267" s="9">
        <f>IF(IF(EXACT("Team","Team"),IF('Model inputs'!T139="","",'Model inputs'!T139),IF('Model inputs'!T169="","",'Model inputs'!T169))="",0,IF(EXACT("Team","Team"),IF('Model inputs'!T139="","",'Model inputs'!T139),IF('Model inputs'!T169="","",'Model inputs'!T169)))*'Model inputs'!C192</f>
        <v>780</v>
      </c>
      <c r="U267" s="9">
        <f>IF(IF(EXACT("Team","Team"),IF('Model inputs'!U139="","",'Model inputs'!U139),IF('Model inputs'!U169="","",'Model inputs'!U169))="",0,IF(EXACT("Team","Team"),IF('Model inputs'!U139="","",'Model inputs'!U139),IF('Model inputs'!U169="","",'Model inputs'!U169)))*'Model inputs'!C192</f>
        <v>900</v>
      </c>
      <c r="V267" s="9">
        <f>IF(IF(EXACT("Team","Team"),IF('Model inputs'!V139="","",'Model inputs'!V139),IF('Model inputs'!V169="","",'Model inputs'!V169))="",0,IF(EXACT("Team","Team"),IF('Model inputs'!V139="","",'Model inputs'!V139),IF('Model inputs'!V169="","",'Model inputs'!V169)))*'Model inputs'!C192</f>
        <v>1020</v>
      </c>
      <c r="W267" s="9">
        <f>IF(IF(EXACT("Team","Team"),IF('Model inputs'!W139="","",'Model inputs'!W139),IF('Model inputs'!W169="","",'Model inputs'!W169))="",0,IF(EXACT("Team","Team"),IF('Model inputs'!W139="","",'Model inputs'!W139),IF('Model inputs'!W169="","",'Model inputs'!W169)))*'Model inputs'!C192</f>
        <v>1080</v>
      </c>
      <c r="X267" s="9">
        <f>IF(IF(EXACT("Team","Team"),IF('Model inputs'!X139="","",'Model inputs'!X139),IF('Model inputs'!X169="","",'Model inputs'!X169))="",0,IF(EXACT("Team","Team"),IF('Model inputs'!X139="","",'Model inputs'!X139),IF('Model inputs'!X169="","",'Model inputs'!X169)))*'Model inputs'!C192</f>
        <v>1200</v>
      </c>
    </row>
    <row r="268">
      <c r="A268" t="inlineStr" s="21">
        <is>
          <t xml:space="preserve">Investigations</t>
        </is>
      </c>
      <c r="L268" s="12">
        <f>SUM('Model inputs'!L269,'Model inputs'!L270)</f>
        <v>0</v>
      </c>
      <c r="M268" s="12">
        <f>SUM('Model inputs'!M269,'Model inputs'!M270)</f>
        <v>2000</v>
      </c>
      <c r="N268" s="12">
        <f>SUM('Model inputs'!N269,'Model inputs'!N270)</f>
        <v>3500</v>
      </c>
      <c r="O268" s="12">
        <f>SUM('Model inputs'!O269,'Model inputs'!O270)</f>
        <v>5000</v>
      </c>
      <c r="P268" s="12">
        <f>SUM('Model inputs'!P269,'Model inputs'!P270)</f>
        <v>6500</v>
      </c>
      <c r="Q268" s="12">
        <f>SUM('Model inputs'!Q269,'Model inputs'!Q270)</f>
        <v>8000</v>
      </c>
      <c r="R268" s="12">
        <f>SUM('Model inputs'!R269,'Model inputs'!R270)</f>
        <v>9500</v>
      </c>
      <c r="S268" s="12">
        <f>SUM('Model inputs'!S269,'Model inputs'!S270)</f>
        <v>11000</v>
      </c>
      <c r="T268" s="12">
        <f>SUM('Model inputs'!T269,'Model inputs'!T270)</f>
        <v>12500</v>
      </c>
      <c r="U268" s="12">
        <f>SUM('Model inputs'!U269,'Model inputs'!U270)</f>
        <v>14000</v>
      </c>
      <c r="V268" s="12">
        <f>SUM('Model inputs'!V269,'Model inputs'!V270)</f>
        <v>15500</v>
      </c>
      <c r="W268" s="12">
        <f>SUM('Model inputs'!W269,'Model inputs'!W270)</f>
        <v>17000</v>
      </c>
      <c r="X268" s="12">
        <f>SUM('Model inputs'!X269,'Model inputs'!X270)</f>
        <v>18500</v>
      </c>
    </row>
    <row r="269" outlineLevel="1">
      <c r="A269" t="inlineStr" s="22">
        <is>
          <t xml:space="preserve">Investigations &gt; Free</t>
        </is>
      </c>
      <c r="L269" s="9">
        <f>'Monthly forecast and cash'!B10</f>
        <v>0</v>
      </c>
      <c r="M269" s="9">
        <f>IF(IF(EXACT("Free","Team"),IF('Model inputs'!M140="","",'Model inputs'!M140),IF('Model inputs'!M170="","",'Model inputs'!M170))="",0,IF(EXACT("Free","Team"),IF('Model inputs'!M140="","",'Model inputs'!M140),IF('Model inputs'!M170="","",'Model inputs'!M170)))*'Model inputs'!C194</f>
        <v>500</v>
      </c>
      <c r="N269" s="9">
        <f>IF(IF(EXACT("Free","Team"),IF('Model inputs'!N140="","",'Model inputs'!N140),IF('Model inputs'!N170="","",'Model inputs'!N170))="",0,IF(EXACT("Free","Team"),IF('Model inputs'!N140="","",'Model inputs'!N140),IF('Model inputs'!N170="","",'Model inputs'!N170)))*'Model inputs'!C194</f>
        <v>500</v>
      </c>
      <c r="O269" s="9">
        <f>IF(IF(EXACT("Free","Team"),IF('Model inputs'!O140="","",'Model inputs'!O140),IF('Model inputs'!O170="","",'Model inputs'!O170))="",0,IF(EXACT("Free","Team"),IF('Model inputs'!O140="","",'Model inputs'!O140),IF('Model inputs'!O170="","",'Model inputs'!O170)))*'Model inputs'!C194</f>
        <v>500</v>
      </c>
      <c r="P269" s="9">
        <f>IF(IF(EXACT("Free","Team"),IF('Model inputs'!P140="","",'Model inputs'!P140),IF('Model inputs'!P170="","",'Model inputs'!P170))="",0,IF(EXACT("Free","Team"),IF('Model inputs'!P140="","",'Model inputs'!P140),IF('Model inputs'!P170="","",'Model inputs'!P170)))*'Model inputs'!C194</f>
        <v>500</v>
      </c>
      <c r="Q269" s="9">
        <f>IF(IF(EXACT("Free","Team"),IF('Model inputs'!Q140="","",'Model inputs'!Q140),IF('Model inputs'!Q170="","",'Model inputs'!Q170))="",0,IF(EXACT("Free","Team"),IF('Model inputs'!Q140="","",'Model inputs'!Q140),IF('Model inputs'!Q170="","",'Model inputs'!Q170)))*'Model inputs'!C194</f>
        <v>500</v>
      </c>
      <c r="R269" s="9">
        <f>IF(IF(EXACT("Free","Team"),IF('Model inputs'!R140="","",'Model inputs'!R140),IF('Model inputs'!R170="","",'Model inputs'!R170))="",0,IF(EXACT("Free","Team"),IF('Model inputs'!R140="","",'Model inputs'!R140),IF('Model inputs'!R170="","",'Model inputs'!R170)))*'Model inputs'!C194</f>
        <v>500</v>
      </c>
      <c r="S269" s="9">
        <f>IF(IF(EXACT("Free","Team"),IF('Model inputs'!S140="","",'Model inputs'!S140),IF('Model inputs'!S170="","",'Model inputs'!S170))="",0,IF(EXACT("Free","Team"),IF('Model inputs'!S140="","",'Model inputs'!S140),IF('Model inputs'!S170="","",'Model inputs'!S170)))*'Model inputs'!C194</f>
        <v>500</v>
      </c>
      <c r="T269" s="9">
        <f>IF(IF(EXACT("Free","Team"),IF('Model inputs'!T140="","",'Model inputs'!T140),IF('Model inputs'!T170="","",'Model inputs'!T170))="",0,IF(EXACT("Free","Team"),IF('Model inputs'!T140="","",'Model inputs'!T140),IF('Model inputs'!T170="","",'Model inputs'!T170)))*'Model inputs'!C194</f>
        <v>500</v>
      </c>
      <c r="U269" s="9">
        <f>IF(IF(EXACT("Free","Team"),IF('Model inputs'!U140="","",'Model inputs'!U140),IF('Model inputs'!U170="","",'Model inputs'!U170))="",0,IF(EXACT("Free","Team"),IF('Model inputs'!U140="","",'Model inputs'!U140),IF('Model inputs'!U170="","",'Model inputs'!U170)))*'Model inputs'!C194</f>
        <v>500</v>
      </c>
      <c r="V269" s="9">
        <f>IF(IF(EXACT("Free","Team"),IF('Model inputs'!V140="","",'Model inputs'!V140),IF('Model inputs'!V170="","",'Model inputs'!V170))="",0,IF(EXACT("Free","Team"),IF('Model inputs'!V140="","",'Model inputs'!V140),IF('Model inputs'!V170="","",'Model inputs'!V170)))*'Model inputs'!C194</f>
        <v>500</v>
      </c>
      <c r="W269" s="9">
        <f>IF(IF(EXACT("Free","Team"),IF('Model inputs'!W140="","",'Model inputs'!W140),IF('Model inputs'!W170="","",'Model inputs'!W170))="",0,IF(EXACT("Free","Team"),IF('Model inputs'!W140="","",'Model inputs'!W140),IF('Model inputs'!W170="","",'Model inputs'!W170)))*'Model inputs'!C194</f>
        <v>500</v>
      </c>
      <c r="X269" s="9">
        <f>IF(IF(EXACT("Free","Team"),IF('Model inputs'!X140="","",'Model inputs'!X140),IF('Model inputs'!X170="","",'Model inputs'!X170))="",0,IF(EXACT("Free","Team"),IF('Model inputs'!X140="","",'Model inputs'!X140),IF('Model inputs'!X170="","",'Model inputs'!X170)))*'Model inputs'!C194</f>
        <v>500</v>
      </c>
    </row>
    <row r="270" outlineLevel="1">
      <c r="A270" t="inlineStr" s="22">
        <is>
          <t xml:space="preserve">Investigations &gt; Team</t>
        </is>
      </c>
      <c r="L270" s="9">
        <f>'Monthly forecast and cash'!B11</f>
        <v>0</v>
      </c>
      <c r="M270" s="9">
        <f>IF(IF(EXACT("Team","Team"),IF('Model inputs'!M140="","",'Model inputs'!M140),IF('Model inputs'!M170="","",'Model inputs'!M170))="",0,IF(EXACT("Team","Team"),IF('Model inputs'!M140="","",'Model inputs'!M140),IF('Model inputs'!M170="","",'Model inputs'!M170)))*'Model inputs'!C195</f>
        <v>1500</v>
      </c>
      <c r="N270" s="9">
        <f>IF(IF(EXACT("Team","Team"),IF('Model inputs'!N140="","",'Model inputs'!N140),IF('Model inputs'!N170="","",'Model inputs'!N170))="",0,IF(EXACT("Team","Team"),IF('Model inputs'!N140="","",'Model inputs'!N140),IF('Model inputs'!N170="","",'Model inputs'!N170)))*'Model inputs'!C195</f>
        <v>3000</v>
      </c>
      <c r="O270" s="9">
        <f>IF(IF(EXACT("Team","Team"),IF('Model inputs'!O140="","",'Model inputs'!O140),IF('Model inputs'!O170="","",'Model inputs'!O170))="",0,IF(EXACT("Team","Team"),IF('Model inputs'!O140="","",'Model inputs'!O140),IF('Model inputs'!O170="","",'Model inputs'!O170)))*'Model inputs'!C195</f>
        <v>4500</v>
      </c>
      <c r="P270" s="9">
        <f>IF(IF(EXACT("Team","Team"),IF('Model inputs'!P140="","",'Model inputs'!P140),IF('Model inputs'!P170="","",'Model inputs'!P170))="",0,IF(EXACT("Team","Team"),IF('Model inputs'!P140="","",'Model inputs'!P140),IF('Model inputs'!P170="","",'Model inputs'!P170)))*'Model inputs'!C195</f>
        <v>6000</v>
      </c>
      <c r="Q270" s="9">
        <f>IF(IF(EXACT("Team","Team"),IF('Model inputs'!Q140="","",'Model inputs'!Q140),IF('Model inputs'!Q170="","",'Model inputs'!Q170))="",0,IF(EXACT("Team","Team"),IF('Model inputs'!Q140="","",'Model inputs'!Q140),IF('Model inputs'!Q170="","",'Model inputs'!Q170)))*'Model inputs'!C195</f>
        <v>7500</v>
      </c>
      <c r="R270" s="9">
        <f>IF(IF(EXACT("Team","Team"),IF('Model inputs'!R140="","",'Model inputs'!R140),IF('Model inputs'!R170="","",'Model inputs'!R170))="",0,IF(EXACT("Team","Team"),IF('Model inputs'!R140="","",'Model inputs'!R140),IF('Model inputs'!R170="","",'Model inputs'!R170)))*'Model inputs'!C195</f>
        <v>9000</v>
      </c>
      <c r="S270" s="9">
        <f>IF(IF(EXACT("Team","Team"),IF('Model inputs'!S140="","",'Model inputs'!S140),IF('Model inputs'!S170="","",'Model inputs'!S170))="",0,IF(EXACT("Team","Team"),IF('Model inputs'!S140="","",'Model inputs'!S140),IF('Model inputs'!S170="","",'Model inputs'!S170)))*'Model inputs'!C195</f>
        <v>10500</v>
      </c>
      <c r="T270" s="9">
        <f>IF(IF(EXACT("Team","Team"),IF('Model inputs'!T140="","",'Model inputs'!T140),IF('Model inputs'!T170="","",'Model inputs'!T170))="",0,IF(EXACT("Team","Team"),IF('Model inputs'!T140="","",'Model inputs'!T140),IF('Model inputs'!T170="","",'Model inputs'!T170)))*'Model inputs'!C195</f>
        <v>12000</v>
      </c>
      <c r="U270" s="9">
        <f>IF(IF(EXACT("Team","Team"),IF('Model inputs'!U140="","",'Model inputs'!U140),IF('Model inputs'!U170="","",'Model inputs'!U170))="",0,IF(EXACT("Team","Team"),IF('Model inputs'!U140="","",'Model inputs'!U140),IF('Model inputs'!U170="","",'Model inputs'!U170)))*'Model inputs'!C195</f>
        <v>13500</v>
      </c>
      <c r="V270" s="9">
        <f>IF(IF(EXACT("Team","Team"),IF('Model inputs'!V140="","",'Model inputs'!V140),IF('Model inputs'!V170="","",'Model inputs'!V170))="",0,IF(EXACT("Team","Team"),IF('Model inputs'!V140="","",'Model inputs'!V140),IF('Model inputs'!V170="","",'Model inputs'!V170)))*'Model inputs'!C195</f>
        <v>15000</v>
      </c>
      <c r="W270" s="9">
        <f>IF(IF(EXACT("Team","Team"),IF('Model inputs'!W140="","",'Model inputs'!W140),IF('Model inputs'!W170="","",'Model inputs'!W170))="",0,IF(EXACT("Team","Team"),IF('Model inputs'!W140="","",'Model inputs'!W140),IF('Model inputs'!W170="","",'Model inputs'!W170)))*'Model inputs'!C195</f>
        <v>16500</v>
      </c>
      <c r="X270" s="9">
        <f>IF(IF(EXACT("Team","Team"),IF('Model inputs'!X140="","",'Model inputs'!X140),IF('Model inputs'!X170="","",'Model inputs'!X170))="",0,IF(EXACT("Team","Team"),IF('Model inputs'!X140="","",'Model inputs'!X140),IF('Model inputs'!X170="","",'Model inputs'!X170)))*'Model inputs'!C195</f>
        <v>18000</v>
      </c>
    </row>
    <row r="271">
      <c r="A271" t="inlineStr" s="21">
        <is>
          <t xml:space="preserve">Model cost per investigation · Model spend · AgentBisect — 100 teams at month 12 · AgentBisect — 100 teams at month 12</t>
        </is>
      </c>
      <c r="C271" s="8">
        <f>'Editable assumptions'!B5</f>
        <v>0.25</v>
      </c>
    </row>
    <row r="272">
      <c r="A272" t="inlineStr" s="21">
        <is>
          <t xml:space="preserve">Model cost per investigation · Model spend · AgentBisect — 20 teams at month 12 · AgentBisect — 20 teams at month 12</t>
        </is>
      </c>
      <c r="C272" s="8">
        <f>'Editable assumptions'!B5</f>
        <v>0.25</v>
      </c>
    </row>
    <row r="273">
      <c r="A273" t="inlineStr" s="21">
        <is>
          <t xml:space="preserve">Model cost per investigation · Model spend · AgentBisect — 300 teams at month 12 · AgentBisect — 300 teams at month 12</t>
        </is>
      </c>
      <c r="C273" s="8">
        <f>'Editable assumptions'!B5</f>
        <v>0.25</v>
      </c>
    </row>
    <row r="275">
      <c r="A275" t="inlineStr" s="20">
        <is>
          <t xml:space="preserve">Dimensions</t>
        </is>
      </c>
    </row>
    <row r="276">
      <c r="A276" t="inlineStr" s="21">
        <is>
          <t xml:space="preserve">Founder</t>
        </is>
      </c>
      <c r="B276" t="inlineStr" s="23">
        <is>
          <t xml:space="preserve">Founder — sole operator</t>
        </is>
      </c>
    </row>
    <row r="277">
      <c r="A277" t="inlineStr" s="21">
        <is>
          <t xml:space="preserve">Plan</t>
        </is>
      </c>
      <c r="B277" t="inlineStr" s="23">
        <is>
          <t xml:space="preserve">Free</t>
        </is>
      </c>
      <c r="C277" t="inlineStr" s="23">
        <is>
          <t xml:space="preserve">Team</t>
        </is>
      </c>
    </row>
    <row r="279">
      <c r="A279" t="inlineStr" s="20">
        <is>
          <t xml:space="preserve">Supporting calculations</t>
        </is>
      </c>
    </row>
    <row r="280">
      <c r="A280" t="inlineStr" s="21">
        <is>
          <t xml:space="preserve">Calculation</t>
        </is>
      </c>
      <c r="B280">
        <f>IF(IF(AND('Editable assumptions'!B16&lt;=DATE(2026,9,1),DATE(2026,9,1)&lt;=DATE(2026,10,1))="",FALSE,AND('Editable assumptions'!B16&lt;=DATE(2026,9,1),DATE(2026,9,1)&lt;=DATE(2026,10,1))),'Monthly forecast and cash'!B29,"")</f>
      </c>
    </row>
    <row r="281">
      <c r="A281" t="inlineStr" s="21">
        <is>
          <t xml:space="preserve">Calculation</t>
        </is>
      </c>
      <c r="B281">
        <f>IF(IF(AND('Editable assumptions'!B16&lt;=DATE(2026,10,1),DATE(2026,10,1)&lt;=DATE(2026,10,1))="",FALSE,AND('Editable assumptions'!B16&lt;=DATE(2026,10,1),DATE(2026,10,1)&lt;=DATE(2026,10,1))),'Monthly forecast and cash'!C29,"")</f>
      </c>
    </row>
    <row r="282">
      <c r="A282" t="inlineStr" s="21">
        <is>
          <t xml:space="preserve">Calculation</t>
        </is>
      </c>
      <c r="B282">
        <f>IF(IF(AND('Editable assumptions'!B16&lt;=DATE(2026,11,1),DATE(2026,11,1)&lt;=DATE(2026,10,1))="",FALSE,AND('Editable assumptions'!B16&lt;=DATE(2026,11,1),DATE(2026,11,1)&lt;=DATE(2026,10,1))),'Monthly forecast and cash'!D29,"")</f>
      </c>
    </row>
    <row r="283">
      <c r="A283" t="inlineStr" s="21">
        <is>
          <t xml:space="preserve">Calculation</t>
        </is>
      </c>
      <c r="B283">
        <f>IF(IF(AND('Editable assumptions'!B16&lt;=DATE(2026,12,1),DATE(2026,12,1)&lt;=DATE(2026,10,1))="",FALSE,AND('Editable assumptions'!B16&lt;=DATE(2026,12,1),DATE(2026,12,1)&lt;=DATE(2026,10,1))),'Monthly forecast and cash'!E29,"")</f>
      </c>
    </row>
    <row r="284">
      <c r="A284" t="inlineStr" s="21">
        <is>
          <t xml:space="preserve">Calculation</t>
        </is>
      </c>
      <c r="B284">
        <f>IF(IF(AND('Editable assumptions'!B16&lt;=DATE(2027,1,1),DATE(2027,1,1)&lt;=DATE(2026,10,1))="",FALSE,AND('Editable assumptions'!B16&lt;=DATE(2027,1,1),DATE(2027,1,1)&lt;=DATE(2026,10,1))),'Monthly forecast and cash'!F29,"")</f>
      </c>
    </row>
    <row r="285">
      <c r="A285" t="inlineStr" s="21">
        <is>
          <t xml:space="preserve">Calculation</t>
        </is>
      </c>
      <c r="B285">
        <f>IF(IF(AND('Editable assumptions'!B16&lt;=DATE(2027,2,1),DATE(2027,2,1)&lt;=DATE(2026,10,1))="",FALSE,AND('Editable assumptions'!B16&lt;=DATE(2027,2,1),DATE(2027,2,1)&lt;=DATE(2026,10,1))),'Monthly forecast and cash'!G29,"")</f>
      </c>
    </row>
    <row r="286">
      <c r="A286" t="inlineStr" s="21">
        <is>
          <t xml:space="preserve">Calculation</t>
        </is>
      </c>
      <c r="B286">
        <f>IF(IF(AND('Editable assumptions'!B16&lt;=DATE(2027,3,1),DATE(2027,3,1)&lt;=DATE(2026,10,1))="",FALSE,AND('Editable assumptions'!B16&lt;=DATE(2027,3,1),DATE(2027,3,1)&lt;=DATE(2026,10,1))),'Monthly forecast and cash'!H29,"")</f>
      </c>
    </row>
    <row r="287">
      <c r="A287" t="inlineStr" s="21">
        <is>
          <t xml:space="preserve">Calculation</t>
        </is>
      </c>
      <c r="B287">
        <f>IF(IF(AND('Editable assumptions'!B16&lt;=DATE(2027,4,1),DATE(2027,4,1)&lt;=DATE(2026,10,1))="",FALSE,AND('Editable assumptions'!B16&lt;=DATE(2027,4,1),DATE(2027,4,1)&lt;=DATE(2026,10,1))),'Monthly forecast and cash'!I29,"")</f>
      </c>
    </row>
    <row r="288">
      <c r="A288" t="inlineStr" s="21">
        <is>
          <t xml:space="preserve">Calculation</t>
        </is>
      </c>
      <c r="B288">
        <f>IF(IF(AND('Editable assumptions'!B16&lt;=DATE(2027,5,1),DATE(2027,5,1)&lt;=DATE(2026,10,1))="",FALSE,AND('Editable assumptions'!B16&lt;=DATE(2027,5,1),DATE(2027,5,1)&lt;=DATE(2026,10,1))),'Monthly forecast and cash'!J29,"")</f>
      </c>
    </row>
    <row r="289">
      <c r="A289" t="inlineStr" s="21">
        <is>
          <t xml:space="preserve">Calculation</t>
        </is>
      </c>
      <c r="B289">
        <f>IF(IF(AND('Editable assumptions'!B16&lt;=DATE(2027,6,1),DATE(2027,6,1)&lt;=DATE(2026,10,1))="",FALSE,AND('Editable assumptions'!B16&lt;=DATE(2027,6,1),DATE(2027,6,1)&lt;=DATE(2026,10,1))),'Monthly forecast and cash'!K29,"")</f>
      </c>
    </row>
    <row r="290">
      <c r="A290" t="inlineStr" s="21">
        <is>
          <t xml:space="preserve">Calculation</t>
        </is>
      </c>
      <c r="B290">
        <f>IF(IF(AND('Editable assumptions'!B16&lt;=DATE(2027,7,1),DATE(2027,7,1)&lt;=DATE(2026,10,1))="",FALSE,AND('Editable assumptions'!B16&lt;=DATE(2027,7,1),DATE(2027,7,1)&lt;=DATE(2026,10,1))),'Monthly forecast and cash'!L29,"")</f>
      </c>
    </row>
    <row r="291">
      <c r="A291" t="inlineStr" s="21">
        <is>
          <t xml:space="preserve">Calculation</t>
        </is>
      </c>
      <c r="B291">
        <f>IF(IF(AND('Editable assumptions'!B16&lt;=DATE(2027,8,1),DATE(2027,8,1)&lt;=DATE(2026,10,1))="",FALSE,AND('Editable assumptions'!B16&lt;=DATE(2027,8,1),DATE(2027,8,1)&lt;=DATE(2026,10,1))),'Monthly forecast and cash'!M29,"")</f>
      </c>
    </row>
    <row r="292">
      <c r="A292" t="inlineStr" s="21">
        <is>
          <t xml:space="preserve">Calculation</t>
        </is>
      </c>
      <c r="B292">
        <f>IF(IF(AND('Editable assumptions'!B16&lt;=DATE(2027,9,1),DATE(2027,9,1)&lt;=DATE(2026,10,1))="",FALSE,AND('Editable assumptions'!B16&lt;=DATE(2027,9,1),DATE(2027,9,1)&lt;=DATE(2026,10,1))),'Monthly forecast and cash'!N29,"")</f>
      </c>
    </row>
    <row r="293">
      <c r="A293" t="inlineStr" s="21">
        <is>
          <t xml:space="preserve">Calculation</t>
        </is>
      </c>
      <c r="B293">
        <f>IF(IF(AND('Editable assumptions'!B16&lt;=DATE(2027,10,1),DATE(2027,10,1)&lt;=DATE(2026,10,1))="",FALSE,AND('Editable assumptions'!B16&lt;=DATE(2027,10,1),DATE(2027,10,1)&lt;=DATE(2026,10,1))),'Monthly forecast and cash'!O29,"")</f>
      </c>
    </row>
    <row r="294">
      <c r="A294" t="inlineStr" s="21">
        <is>
          <t xml:space="preserve">Calculation</t>
        </is>
      </c>
      <c r="B294">
        <f>IF(IF(AND('Editable assumptions'!B16&lt;=DATE(2027,11,1),DATE(2027,11,1)&lt;=DATE(2026,10,1))="",FALSE,AND('Editable assumptions'!B16&lt;=DATE(2027,11,1),DATE(2027,11,1)&lt;=DATE(2026,10,1))),'Monthly forecast and cash'!P29,"")</f>
      </c>
    </row>
    <row r="295">
      <c r="A295" t="inlineStr" s="21">
        <is>
          <t xml:space="preserve">Calculation</t>
        </is>
      </c>
      <c r="B295">
        <f>IF(IF(AND('Editable assumptions'!B16&lt;=DATE(2027,12,1),DATE(2027,12,1)&lt;=DATE(2026,10,1))="",FALSE,AND('Editable assumptions'!B16&lt;=DATE(2027,12,1),DATE(2027,12,1)&lt;=DATE(2026,10,1))),'Monthly forecast and cash'!Q29,"")</f>
      </c>
    </row>
    <row r="296">
      <c r="A296" t="inlineStr" s="21">
        <is>
          <t xml:space="preserve">Calculation</t>
        </is>
      </c>
      <c r="B296">
        <f>IF(IF(AND('Editable assumptions'!B16&lt;=DATE(2028,1,1),DATE(2028,1,1)&lt;=DATE(2026,10,1))="",FALSE,AND('Editable assumptions'!B16&lt;=DATE(2028,1,1),DATE(2028,1,1)&lt;=DATE(2026,10,1))),'Monthly forecast and cash'!R29,"")</f>
      </c>
    </row>
    <row r="297">
      <c r="A297" t="inlineStr" s="21">
        <is>
          <t xml:space="preserve">Calculation</t>
        </is>
      </c>
      <c r="B297">
        <f>IF(IF(AND('Editable assumptions'!B16&lt;=DATE(2028,2,1),DATE(2028,2,1)&lt;=DATE(2026,10,1))="",FALSE,AND('Editable assumptions'!B16&lt;=DATE(2028,2,1),DATE(2028,2,1)&lt;=DATE(2026,10,1))),'Monthly forecast and cash'!S29,"")</f>
      </c>
    </row>
    <row r="298">
      <c r="A298" t="inlineStr" s="21">
        <is>
          <t xml:space="preserve">Calculation</t>
        </is>
      </c>
      <c r="B298">
        <f>IF(IF(AND('Editable assumptions'!B16&lt;=DATE(2028,3,1),DATE(2028,3,1)&lt;=DATE(2026,10,1))="",FALSE,AND('Editable assumptions'!B16&lt;=DATE(2028,3,1),DATE(2028,3,1)&lt;=DATE(2026,10,1))),'Monthly forecast and cash'!T29,"")</f>
      </c>
    </row>
    <row r="299">
      <c r="A299" t="inlineStr" s="21">
        <is>
          <t xml:space="preserve">Calculation</t>
        </is>
      </c>
      <c r="B299">
        <f>IF(IF(AND('Editable assumptions'!B16&lt;=DATE(2028,4,1),DATE(2028,4,1)&lt;=DATE(2026,10,1))="",FALSE,AND('Editable assumptions'!B16&lt;=DATE(2028,4,1),DATE(2028,4,1)&lt;=DATE(2026,10,1))),'Monthly forecast and cash'!U29,"")</f>
      </c>
    </row>
    <row r="300">
      <c r="A300" t="inlineStr" s="21">
        <is>
          <t xml:space="preserve">Calculation</t>
        </is>
      </c>
      <c r="B300">
        <f>IF(IF(AND('Editable assumptions'!B16&lt;=DATE(2028,5,1),DATE(2028,5,1)&lt;=DATE(2026,10,1))="",FALSE,AND('Editable assumptions'!B16&lt;=DATE(2028,5,1),DATE(2028,5,1)&lt;=DATE(2026,10,1))),'Monthly forecast and cash'!V29,"")</f>
      </c>
    </row>
    <row r="301">
      <c r="A301" t="inlineStr" s="21">
        <is>
          <t xml:space="preserve">Calculation</t>
        </is>
      </c>
      <c r="B301">
        <f>IF(IF(AND('Editable assumptions'!B16&lt;=DATE(2028,6,1),DATE(2028,6,1)&lt;=DATE(2026,10,1))="",FALSE,AND('Editable assumptions'!B16&lt;=DATE(2028,6,1),DATE(2028,6,1)&lt;=DATE(2026,10,1))),'Monthly forecast and cash'!W29,"")</f>
      </c>
    </row>
    <row r="302">
      <c r="A302" t="inlineStr" s="21">
        <is>
          <t xml:space="preserve">Calculation</t>
        </is>
      </c>
      <c r="B302">
        <f>IF(IF(AND('Editable assumptions'!B16&lt;=DATE(2028,7,1),DATE(2028,7,1)&lt;=DATE(2026,10,1))="",FALSE,AND('Editable assumptions'!B16&lt;=DATE(2028,7,1),DATE(2028,7,1)&lt;=DATE(2026,10,1))),'Monthly forecast and cash'!X29,"")</f>
      </c>
    </row>
    <row r="303">
      <c r="A303" t="inlineStr" s="21">
        <is>
          <t xml:space="preserve">Calculation</t>
        </is>
      </c>
      <c r="B303">
        <f>IF(IF(AND('Editable assumptions'!B16&lt;=DATE(2028,8,1),DATE(2028,8,1)&lt;=DATE(2026,10,1))="",FALSE,AND('Editable assumptions'!B16&lt;=DATE(2028,8,1),DATE(2028,8,1)&lt;=DATE(2026,10,1))),'Monthly forecast and cash'!Y29,"")</f>
      </c>
    </row>
    <row r="304">
      <c r="A304" t="inlineStr" s="21">
        <is>
          <t xml:space="preserve">Calculation</t>
        </is>
      </c>
      <c r="B304">
        <f>IF(IF(AND('Editable assumptions'!B16&lt;=DATE(2028,9,1),DATE(2028,9,1)&lt;=DATE(2026,10,1))="",FALSE,AND('Editable assumptions'!B16&lt;=DATE(2028,9,1),DATE(2028,9,1)&lt;=DATE(2026,10,1))),'Monthly forecast and cash'!Z29,"")</f>
      </c>
    </row>
    <row r="305">
      <c r="A305" t="inlineStr" s="21">
        <is>
          <t xml:space="preserve">Calculation</t>
        </is>
      </c>
      <c r="B305">
        <f>IF(IF(AND('Editable assumptions'!B16&lt;=DATE(2026,1,1),DATE(2026,1,1)&lt;=DATE(2026,10,1))="",FALSE,AND('Editable assumptions'!B16&lt;=DATE(2026,1,1),DATE(2026,1,1)&lt;=DATE(2026,10,1))),'Model inputs'!D12,"")</f>
      </c>
    </row>
    <row r="306">
      <c r="A306" t="inlineStr" s="21">
        <is>
          <t xml:space="preserve">Calculation</t>
        </is>
      </c>
      <c r="B306">
        <f>IF(IF(AND('Editable assumptions'!B16&lt;=DATE(2026,2,1),DATE(2026,2,1)&lt;=DATE(2026,10,1))="",FALSE,AND('Editable assumptions'!B16&lt;=DATE(2026,2,1),DATE(2026,2,1)&lt;=DATE(2026,10,1))),'Model inputs'!E12,"")</f>
      </c>
    </row>
    <row r="307">
      <c r="A307" t="inlineStr" s="21">
        <is>
          <t xml:space="preserve">Calculation</t>
        </is>
      </c>
      <c r="B307">
        <f>IF(IF(AND('Editable assumptions'!B16&lt;=DATE(2026,3,1),DATE(2026,3,1)&lt;=DATE(2026,10,1))="",FALSE,AND('Editable assumptions'!B16&lt;=DATE(2026,3,1),DATE(2026,3,1)&lt;=DATE(2026,10,1))),'Model inputs'!F12,"")</f>
      </c>
    </row>
    <row r="308">
      <c r="A308" t="inlineStr" s="21">
        <is>
          <t xml:space="preserve">Calculation</t>
        </is>
      </c>
      <c r="B308">
        <f>IF(IF(AND('Editable assumptions'!B16&lt;=DATE(2026,4,1),DATE(2026,4,1)&lt;=DATE(2026,10,1))="",FALSE,AND('Editable assumptions'!B16&lt;=DATE(2026,4,1),DATE(2026,4,1)&lt;=DATE(2026,10,1))),'Model inputs'!G12,"")</f>
      </c>
    </row>
    <row r="309">
      <c r="A309" t="inlineStr" s="21">
        <is>
          <t xml:space="preserve">Calculation</t>
        </is>
      </c>
      <c r="B309">
        <f>IF(IF(AND('Editable assumptions'!B16&lt;=DATE(2026,5,1),DATE(2026,5,1)&lt;=DATE(2026,10,1))="",FALSE,AND('Editable assumptions'!B16&lt;=DATE(2026,5,1),DATE(2026,5,1)&lt;=DATE(2026,10,1))),'Model inputs'!H12,"")</f>
      </c>
    </row>
    <row r="310">
      <c r="A310" t="inlineStr" s="21">
        <is>
          <t xml:space="preserve">Calculation</t>
        </is>
      </c>
      <c r="B310">
        <f>IF(IF(AND('Editable assumptions'!B16&lt;=DATE(2026,6,1),DATE(2026,6,1)&lt;=DATE(2026,10,1))="",FALSE,AND('Editable assumptions'!B16&lt;=DATE(2026,6,1),DATE(2026,6,1)&lt;=DATE(2026,10,1))),'Model inputs'!I12,"")</f>
      </c>
    </row>
    <row r="311">
      <c r="A311" t="inlineStr" s="21">
        <is>
          <t xml:space="preserve">Calculation</t>
        </is>
      </c>
      <c r="B311">
        <f>IF(IF(AND('Editable assumptions'!B16&lt;=DATE(2026,7,1),DATE(2026,7,1)&lt;=DATE(2026,10,1))="",FALSE,AND('Editable assumptions'!B16&lt;=DATE(2026,7,1),DATE(2026,7,1)&lt;=DATE(2026,10,1))),'Model inputs'!J12,"")</f>
      </c>
    </row>
    <row r="312">
      <c r="A312" t="inlineStr" s="21">
        <is>
          <t xml:space="preserve">Calculation</t>
        </is>
      </c>
      <c r="B312">
        <f>IF(IF(AND('Editable assumptions'!B16&lt;=DATE(2026,8,1),DATE(2026,8,1)&lt;=DATE(2026,10,1))="",FALSE,AND('Editable assumptions'!B16&lt;=DATE(2026,8,1),DATE(2026,8,1)&lt;=DATE(2026,10,1))),'Model inputs'!K12,"")</f>
      </c>
    </row>
    <row r="313">
      <c r="A313" t="inlineStr" s="21">
        <is>
          <t xml:space="preserve">Calculation</t>
        </is>
      </c>
      <c r="B313">
        <f>IF(AND('Model inputs'!B280="",'Model inputs'!B281="",'Model inputs'!B282="",'Model inputs'!B283="",'Model inputs'!B284="",'Model inputs'!B285="",'Model inputs'!B286="",'Model inputs'!B287="",'Model inputs'!B288="",'Model inputs'!B289="",'Model inputs'!B290="",'Model inputs'!B291="",'Model inputs'!B292="",'Model inputs'!B293="",'Model inputs'!B294="",'Model inputs'!B295="",'Model inputs'!B296="",'Model inputs'!B297="",'Model inputs'!B298="",'Model inputs'!B299="",'Model inputs'!B300="",'Model inputs'!B301="",'Model inputs'!B302="",'Model inputs'!B303="",'Model inputs'!B304="",'Model inputs'!B305="",'Model inputs'!B306="",'Model inputs'!B307="",'Model inputs'!B308="",'Model inputs'!B309="",'Model inputs'!B310="",'Model inputs'!B311="",'Model inputs'!B312=""),"",MIN('Model inputs'!B280,'Model inputs'!B281,'Model inputs'!B282,'Model inputs'!B283,'Model inputs'!B284,'Model inputs'!B285,'Model inputs'!B286,'Model inputs'!B287,'Model inputs'!B288,'Model inputs'!B289,'Model inputs'!B290,'Model inputs'!B291,'Model inputs'!B292,'Model inputs'!B293,'Model inputs'!B294,'Model inputs'!B295,'Model inputs'!B296,'Model inputs'!B297,'Model inputs'!B298,'Model inputs'!B299,'Model inputs'!B300,'Model inputs'!B301,'Model inputs'!B302,'Model inputs'!B303,'Model inputs'!B304,'Model inputs'!B305,'Model inputs'!B306,'Model inputs'!B307,'Model inputs'!B308,'Model inputs'!B309,'Model inputs'!B310,'Model inputs'!B311,'Model inputs'!B312))</f>
      </c>
    </row>
    <row r="314">
      <c r="A314" t="inlineStr" s="21">
        <is>
          <t xml:space="preserve">Calculation</t>
        </is>
      </c>
      <c r="B314">
        <f>IF(IF(AND('Editable assumptions'!B16&lt;=DATE(2026,9,1),DATE(2026,9,1)&lt;=DATE(2026,11,1))="",FALSE,AND('Editable assumptions'!B16&lt;=DATE(2026,9,1),DATE(2026,9,1)&lt;=DATE(2026,11,1))),'Monthly forecast and cash'!B29,"")</f>
      </c>
    </row>
    <row r="315">
      <c r="A315" t="inlineStr" s="21">
        <is>
          <t xml:space="preserve">Calculation</t>
        </is>
      </c>
      <c r="B315">
        <f>IF(IF(AND('Editable assumptions'!B16&lt;=DATE(2026,10,1),DATE(2026,10,1)&lt;=DATE(2026,11,1))="",FALSE,AND('Editable assumptions'!B16&lt;=DATE(2026,10,1),DATE(2026,10,1)&lt;=DATE(2026,11,1))),'Monthly forecast and cash'!C29,"")</f>
      </c>
    </row>
    <row r="316">
      <c r="A316" t="inlineStr" s="21">
        <is>
          <t xml:space="preserve">Calculation</t>
        </is>
      </c>
      <c r="B316">
        <f>IF(IF(AND('Editable assumptions'!B16&lt;=DATE(2026,11,1),DATE(2026,11,1)&lt;=DATE(2026,11,1))="",FALSE,AND('Editable assumptions'!B16&lt;=DATE(2026,11,1),DATE(2026,11,1)&lt;=DATE(2026,11,1))),'Monthly forecast and cash'!D29,"")</f>
      </c>
    </row>
    <row r="317">
      <c r="A317" t="inlineStr" s="21">
        <is>
          <t xml:space="preserve">Calculation</t>
        </is>
      </c>
      <c r="B317">
        <f>IF(IF(AND('Editable assumptions'!B16&lt;=DATE(2026,12,1),DATE(2026,12,1)&lt;=DATE(2026,11,1))="",FALSE,AND('Editable assumptions'!B16&lt;=DATE(2026,12,1),DATE(2026,12,1)&lt;=DATE(2026,11,1))),'Monthly forecast and cash'!E29,"")</f>
      </c>
    </row>
    <row r="318">
      <c r="A318" t="inlineStr" s="21">
        <is>
          <t xml:space="preserve">Calculation</t>
        </is>
      </c>
      <c r="B318">
        <f>IF(IF(AND('Editable assumptions'!B16&lt;=DATE(2027,1,1),DATE(2027,1,1)&lt;=DATE(2026,11,1))="",FALSE,AND('Editable assumptions'!B16&lt;=DATE(2027,1,1),DATE(2027,1,1)&lt;=DATE(2026,11,1))),'Monthly forecast and cash'!F29,"")</f>
      </c>
    </row>
    <row r="319">
      <c r="A319" t="inlineStr" s="21">
        <is>
          <t xml:space="preserve">Calculation</t>
        </is>
      </c>
      <c r="B319">
        <f>IF(IF(AND('Editable assumptions'!B16&lt;=DATE(2027,2,1),DATE(2027,2,1)&lt;=DATE(2026,11,1))="",FALSE,AND('Editable assumptions'!B16&lt;=DATE(2027,2,1),DATE(2027,2,1)&lt;=DATE(2026,11,1))),'Monthly forecast and cash'!G29,"")</f>
      </c>
    </row>
    <row r="320">
      <c r="A320" t="inlineStr" s="21">
        <is>
          <t xml:space="preserve">Calculation</t>
        </is>
      </c>
      <c r="B320">
        <f>IF(IF(AND('Editable assumptions'!B16&lt;=DATE(2027,3,1),DATE(2027,3,1)&lt;=DATE(2026,11,1))="",FALSE,AND('Editable assumptions'!B16&lt;=DATE(2027,3,1),DATE(2027,3,1)&lt;=DATE(2026,11,1))),'Monthly forecast and cash'!H29,"")</f>
      </c>
    </row>
    <row r="321">
      <c r="A321" t="inlineStr" s="21">
        <is>
          <t xml:space="preserve">Calculation</t>
        </is>
      </c>
      <c r="B321">
        <f>IF(IF(AND('Editable assumptions'!B16&lt;=DATE(2027,4,1),DATE(2027,4,1)&lt;=DATE(2026,11,1))="",FALSE,AND('Editable assumptions'!B16&lt;=DATE(2027,4,1),DATE(2027,4,1)&lt;=DATE(2026,11,1))),'Monthly forecast and cash'!I29,"")</f>
      </c>
    </row>
    <row r="322">
      <c r="A322" t="inlineStr" s="21">
        <is>
          <t xml:space="preserve">Calculation</t>
        </is>
      </c>
      <c r="B322">
        <f>IF(IF(AND('Editable assumptions'!B16&lt;=DATE(2027,5,1),DATE(2027,5,1)&lt;=DATE(2026,11,1))="",FALSE,AND('Editable assumptions'!B16&lt;=DATE(2027,5,1),DATE(2027,5,1)&lt;=DATE(2026,11,1))),'Monthly forecast and cash'!J29,"")</f>
      </c>
    </row>
    <row r="323">
      <c r="A323" t="inlineStr" s="21">
        <is>
          <t xml:space="preserve">Calculation</t>
        </is>
      </c>
      <c r="B323">
        <f>IF(IF(AND('Editable assumptions'!B16&lt;=DATE(2027,6,1),DATE(2027,6,1)&lt;=DATE(2026,11,1))="",FALSE,AND('Editable assumptions'!B16&lt;=DATE(2027,6,1),DATE(2027,6,1)&lt;=DATE(2026,11,1))),'Monthly forecast and cash'!K29,"")</f>
      </c>
    </row>
    <row r="324">
      <c r="A324" t="inlineStr" s="21">
        <is>
          <t xml:space="preserve">Calculation</t>
        </is>
      </c>
      <c r="B324">
        <f>IF(IF(AND('Editable assumptions'!B16&lt;=DATE(2027,7,1),DATE(2027,7,1)&lt;=DATE(2026,11,1))="",FALSE,AND('Editable assumptions'!B16&lt;=DATE(2027,7,1),DATE(2027,7,1)&lt;=DATE(2026,11,1))),'Monthly forecast and cash'!L29,"")</f>
      </c>
    </row>
    <row r="325">
      <c r="A325" t="inlineStr" s="21">
        <is>
          <t xml:space="preserve">Calculation</t>
        </is>
      </c>
      <c r="B325">
        <f>IF(IF(AND('Editable assumptions'!B16&lt;=DATE(2027,8,1),DATE(2027,8,1)&lt;=DATE(2026,11,1))="",FALSE,AND('Editable assumptions'!B16&lt;=DATE(2027,8,1),DATE(2027,8,1)&lt;=DATE(2026,11,1))),'Monthly forecast and cash'!M29,"")</f>
      </c>
    </row>
    <row r="326">
      <c r="A326" t="inlineStr" s="21">
        <is>
          <t xml:space="preserve">Calculation</t>
        </is>
      </c>
      <c r="B326">
        <f>IF(IF(AND('Editable assumptions'!B16&lt;=DATE(2027,9,1),DATE(2027,9,1)&lt;=DATE(2026,11,1))="",FALSE,AND('Editable assumptions'!B16&lt;=DATE(2027,9,1),DATE(2027,9,1)&lt;=DATE(2026,11,1))),'Monthly forecast and cash'!N29,"")</f>
      </c>
    </row>
    <row r="327">
      <c r="A327" t="inlineStr" s="21">
        <is>
          <t xml:space="preserve">Calculation</t>
        </is>
      </c>
      <c r="B327">
        <f>IF(IF(AND('Editable assumptions'!B16&lt;=DATE(2027,10,1),DATE(2027,10,1)&lt;=DATE(2026,11,1))="",FALSE,AND('Editable assumptions'!B16&lt;=DATE(2027,10,1),DATE(2027,10,1)&lt;=DATE(2026,11,1))),'Monthly forecast and cash'!O29,"")</f>
      </c>
    </row>
    <row r="328">
      <c r="A328" t="inlineStr" s="21">
        <is>
          <t xml:space="preserve">Calculation</t>
        </is>
      </c>
      <c r="B328">
        <f>IF(IF(AND('Editable assumptions'!B16&lt;=DATE(2027,11,1),DATE(2027,11,1)&lt;=DATE(2026,11,1))="",FALSE,AND('Editable assumptions'!B16&lt;=DATE(2027,11,1),DATE(2027,11,1)&lt;=DATE(2026,11,1))),'Monthly forecast and cash'!P29,"")</f>
      </c>
    </row>
    <row r="329">
      <c r="A329" t="inlineStr" s="21">
        <is>
          <t xml:space="preserve">Calculation</t>
        </is>
      </c>
      <c r="B329">
        <f>IF(IF(AND('Editable assumptions'!B16&lt;=DATE(2027,12,1),DATE(2027,12,1)&lt;=DATE(2026,11,1))="",FALSE,AND('Editable assumptions'!B16&lt;=DATE(2027,12,1),DATE(2027,12,1)&lt;=DATE(2026,11,1))),'Monthly forecast and cash'!Q29,"")</f>
      </c>
    </row>
    <row r="330">
      <c r="A330" t="inlineStr" s="21">
        <is>
          <t xml:space="preserve">Calculation</t>
        </is>
      </c>
      <c r="B330">
        <f>IF(IF(AND('Editable assumptions'!B16&lt;=DATE(2028,1,1),DATE(2028,1,1)&lt;=DATE(2026,11,1))="",FALSE,AND('Editable assumptions'!B16&lt;=DATE(2028,1,1),DATE(2028,1,1)&lt;=DATE(2026,11,1))),'Monthly forecast and cash'!R29,"")</f>
      </c>
    </row>
    <row r="331">
      <c r="A331" t="inlineStr" s="21">
        <is>
          <t xml:space="preserve">Calculation</t>
        </is>
      </c>
      <c r="B331">
        <f>IF(IF(AND('Editable assumptions'!B16&lt;=DATE(2028,2,1),DATE(2028,2,1)&lt;=DATE(2026,11,1))="",FALSE,AND('Editable assumptions'!B16&lt;=DATE(2028,2,1),DATE(2028,2,1)&lt;=DATE(2026,11,1))),'Monthly forecast and cash'!S29,"")</f>
      </c>
    </row>
    <row r="332">
      <c r="A332" t="inlineStr" s="21">
        <is>
          <t xml:space="preserve">Calculation</t>
        </is>
      </c>
      <c r="B332">
        <f>IF(IF(AND('Editable assumptions'!B16&lt;=DATE(2028,3,1),DATE(2028,3,1)&lt;=DATE(2026,11,1))="",FALSE,AND('Editable assumptions'!B16&lt;=DATE(2028,3,1),DATE(2028,3,1)&lt;=DATE(2026,11,1))),'Monthly forecast and cash'!T29,"")</f>
      </c>
    </row>
    <row r="333">
      <c r="A333" t="inlineStr" s="21">
        <is>
          <t xml:space="preserve">Calculation</t>
        </is>
      </c>
      <c r="B333">
        <f>IF(IF(AND('Editable assumptions'!B16&lt;=DATE(2028,4,1),DATE(2028,4,1)&lt;=DATE(2026,11,1))="",FALSE,AND('Editable assumptions'!B16&lt;=DATE(2028,4,1),DATE(2028,4,1)&lt;=DATE(2026,11,1))),'Monthly forecast and cash'!U29,"")</f>
      </c>
    </row>
    <row r="334">
      <c r="A334" t="inlineStr" s="21">
        <is>
          <t xml:space="preserve">Calculation</t>
        </is>
      </c>
      <c r="B334">
        <f>IF(IF(AND('Editable assumptions'!B16&lt;=DATE(2028,5,1),DATE(2028,5,1)&lt;=DATE(2026,11,1))="",FALSE,AND('Editable assumptions'!B16&lt;=DATE(2028,5,1),DATE(2028,5,1)&lt;=DATE(2026,11,1))),'Monthly forecast and cash'!V29,"")</f>
      </c>
    </row>
    <row r="335">
      <c r="A335" t="inlineStr" s="21">
        <is>
          <t xml:space="preserve">Calculation</t>
        </is>
      </c>
      <c r="B335">
        <f>IF(IF(AND('Editable assumptions'!B16&lt;=DATE(2028,6,1),DATE(2028,6,1)&lt;=DATE(2026,11,1))="",FALSE,AND('Editable assumptions'!B16&lt;=DATE(2028,6,1),DATE(2028,6,1)&lt;=DATE(2026,11,1))),'Monthly forecast and cash'!W29,"")</f>
      </c>
    </row>
    <row r="336">
      <c r="A336" t="inlineStr" s="21">
        <is>
          <t xml:space="preserve">Calculation</t>
        </is>
      </c>
      <c r="B336">
        <f>IF(IF(AND('Editable assumptions'!B16&lt;=DATE(2028,7,1),DATE(2028,7,1)&lt;=DATE(2026,11,1))="",FALSE,AND('Editable assumptions'!B16&lt;=DATE(2028,7,1),DATE(2028,7,1)&lt;=DATE(2026,11,1))),'Monthly forecast and cash'!X29,"")</f>
      </c>
    </row>
    <row r="337">
      <c r="A337" t="inlineStr" s="21">
        <is>
          <t xml:space="preserve">Calculation</t>
        </is>
      </c>
      <c r="B337">
        <f>IF(IF(AND('Editable assumptions'!B16&lt;=DATE(2028,8,1),DATE(2028,8,1)&lt;=DATE(2026,11,1))="",FALSE,AND('Editable assumptions'!B16&lt;=DATE(2028,8,1),DATE(2028,8,1)&lt;=DATE(2026,11,1))),'Monthly forecast and cash'!Y29,"")</f>
      </c>
    </row>
    <row r="338">
      <c r="A338" t="inlineStr" s="21">
        <is>
          <t xml:space="preserve">Calculation</t>
        </is>
      </c>
      <c r="B338">
        <f>IF(IF(AND('Editable assumptions'!B16&lt;=DATE(2028,9,1),DATE(2028,9,1)&lt;=DATE(2026,11,1))="",FALSE,AND('Editable assumptions'!B16&lt;=DATE(2028,9,1),DATE(2028,9,1)&lt;=DATE(2026,11,1))),'Monthly forecast and cash'!Z29,"")</f>
      </c>
    </row>
    <row r="339">
      <c r="A339" t="inlineStr" s="21">
        <is>
          <t xml:space="preserve">Calculation</t>
        </is>
      </c>
      <c r="B339">
        <f>IF(IF(AND('Editable assumptions'!B16&lt;=DATE(2026,1,1),DATE(2026,1,1)&lt;=DATE(2026,11,1))="",FALSE,AND('Editable assumptions'!B16&lt;=DATE(2026,1,1),DATE(2026,1,1)&lt;=DATE(2026,11,1))),'Model inputs'!D12,"")</f>
      </c>
    </row>
    <row r="340">
      <c r="A340" t="inlineStr" s="21">
        <is>
          <t xml:space="preserve">Calculation</t>
        </is>
      </c>
      <c r="B340">
        <f>IF(IF(AND('Editable assumptions'!B16&lt;=DATE(2026,2,1),DATE(2026,2,1)&lt;=DATE(2026,11,1))="",FALSE,AND('Editable assumptions'!B16&lt;=DATE(2026,2,1),DATE(2026,2,1)&lt;=DATE(2026,11,1))),'Model inputs'!E12,"")</f>
      </c>
    </row>
    <row r="341">
      <c r="A341" t="inlineStr" s="21">
        <is>
          <t xml:space="preserve">Calculation</t>
        </is>
      </c>
      <c r="B341">
        <f>IF(IF(AND('Editable assumptions'!B16&lt;=DATE(2026,3,1),DATE(2026,3,1)&lt;=DATE(2026,11,1))="",FALSE,AND('Editable assumptions'!B16&lt;=DATE(2026,3,1),DATE(2026,3,1)&lt;=DATE(2026,11,1))),'Model inputs'!F12,"")</f>
      </c>
    </row>
    <row r="342">
      <c r="A342" t="inlineStr" s="21">
        <is>
          <t xml:space="preserve">Calculation</t>
        </is>
      </c>
      <c r="B342">
        <f>IF(IF(AND('Editable assumptions'!B16&lt;=DATE(2026,4,1),DATE(2026,4,1)&lt;=DATE(2026,11,1))="",FALSE,AND('Editable assumptions'!B16&lt;=DATE(2026,4,1),DATE(2026,4,1)&lt;=DATE(2026,11,1))),'Model inputs'!G12,"")</f>
      </c>
    </row>
    <row r="343">
      <c r="A343" t="inlineStr" s="21">
        <is>
          <t xml:space="preserve">Calculation</t>
        </is>
      </c>
      <c r="B343">
        <f>IF(IF(AND('Editable assumptions'!B16&lt;=DATE(2026,5,1),DATE(2026,5,1)&lt;=DATE(2026,11,1))="",FALSE,AND('Editable assumptions'!B16&lt;=DATE(2026,5,1),DATE(2026,5,1)&lt;=DATE(2026,11,1))),'Model inputs'!H12,"")</f>
      </c>
    </row>
    <row r="344">
      <c r="A344" t="inlineStr" s="21">
        <is>
          <t xml:space="preserve">Calculation</t>
        </is>
      </c>
      <c r="B344">
        <f>IF(IF(AND('Editable assumptions'!B16&lt;=DATE(2026,6,1),DATE(2026,6,1)&lt;=DATE(2026,11,1))="",FALSE,AND('Editable assumptions'!B16&lt;=DATE(2026,6,1),DATE(2026,6,1)&lt;=DATE(2026,11,1))),'Model inputs'!I12,"")</f>
      </c>
    </row>
    <row r="345">
      <c r="A345" t="inlineStr" s="21">
        <is>
          <t xml:space="preserve">Calculation</t>
        </is>
      </c>
      <c r="B345">
        <f>IF(IF(AND('Editable assumptions'!B16&lt;=DATE(2026,7,1),DATE(2026,7,1)&lt;=DATE(2026,11,1))="",FALSE,AND('Editable assumptions'!B16&lt;=DATE(2026,7,1),DATE(2026,7,1)&lt;=DATE(2026,11,1))),'Model inputs'!J12,"")</f>
      </c>
    </row>
    <row r="346">
      <c r="A346" t="inlineStr" s="21">
        <is>
          <t xml:space="preserve">Calculation</t>
        </is>
      </c>
      <c r="B346">
        <f>IF(IF(AND('Editable assumptions'!B16&lt;=DATE(2026,8,1),DATE(2026,8,1)&lt;=DATE(2026,11,1))="",FALSE,AND('Editable assumptions'!B16&lt;=DATE(2026,8,1),DATE(2026,8,1)&lt;=DATE(2026,11,1))),'Model inputs'!K12,"")</f>
      </c>
    </row>
    <row r="347">
      <c r="A347" t="inlineStr" s="21">
        <is>
          <t xml:space="preserve">Calculation</t>
        </is>
      </c>
      <c r="B347">
        <f>IF(AND('Model inputs'!B314="",'Model inputs'!B315="",'Model inputs'!B316="",'Model inputs'!B317="",'Model inputs'!B318="",'Model inputs'!B319="",'Model inputs'!B320="",'Model inputs'!B321="",'Model inputs'!B322="",'Model inputs'!B323="",'Model inputs'!B324="",'Model inputs'!B325="",'Model inputs'!B326="",'Model inputs'!B327="",'Model inputs'!B328="",'Model inputs'!B329="",'Model inputs'!B330="",'Model inputs'!B331="",'Model inputs'!B332="",'Model inputs'!B333="",'Model inputs'!B334="",'Model inputs'!B335="",'Model inputs'!B336="",'Model inputs'!B337="",'Model inputs'!B338="",'Model inputs'!B339="",'Model inputs'!B340="",'Model inputs'!B341="",'Model inputs'!B342="",'Model inputs'!B343="",'Model inputs'!B344="",'Model inputs'!B345="",'Model inputs'!B346=""),"",MIN('Model inputs'!B314,'Model inputs'!B315,'Model inputs'!B316,'Model inputs'!B317,'Model inputs'!B318,'Model inputs'!B319,'Model inputs'!B320,'Model inputs'!B321,'Model inputs'!B322,'Model inputs'!B323,'Model inputs'!B324,'Model inputs'!B325,'Model inputs'!B326,'Model inputs'!B327,'Model inputs'!B328,'Model inputs'!B329,'Model inputs'!B330,'Model inputs'!B331,'Model inputs'!B332,'Model inputs'!B333,'Model inputs'!B334,'Model inputs'!B335,'Model inputs'!B336,'Model inputs'!B337,'Model inputs'!B338,'Model inputs'!B339,'Model inputs'!B340,'Model inputs'!B341,'Model inputs'!B342,'Model inputs'!B343,'Model inputs'!B344,'Model inputs'!B345,'Model inputs'!B346))</f>
      </c>
    </row>
    <row r="348">
      <c r="A348" t="inlineStr" s="21">
        <is>
          <t xml:space="preserve">Calculation</t>
        </is>
      </c>
      <c r="B348">
        <f>IF(IF(AND('Editable assumptions'!B16&lt;=DATE(2026,9,1),DATE(2026,9,1)&lt;=DATE(2026,12,1))="",FALSE,AND('Editable assumptions'!B16&lt;=DATE(2026,9,1),DATE(2026,9,1)&lt;=DATE(2026,12,1))),'Monthly forecast and cash'!B29,"")</f>
      </c>
    </row>
    <row r="349">
      <c r="A349" t="inlineStr" s="21">
        <is>
          <t xml:space="preserve">Calculation</t>
        </is>
      </c>
      <c r="B349">
        <f>IF(IF(AND('Editable assumptions'!B16&lt;=DATE(2026,10,1),DATE(2026,10,1)&lt;=DATE(2026,12,1))="",FALSE,AND('Editable assumptions'!B16&lt;=DATE(2026,10,1),DATE(2026,10,1)&lt;=DATE(2026,12,1))),'Monthly forecast and cash'!C29,"")</f>
      </c>
    </row>
    <row r="350">
      <c r="A350" t="inlineStr" s="21">
        <is>
          <t xml:space="preserve">Calculation</t>
        </is>
      </c>
      <c r="B350">
        <f>IF(IF(AND('Editable assumptions'!B16&lt;=DATE(2026,11,1),DATE(2026,11,1)&lt;=DATE(2026,12,1))="",FALSE,AND('Editable assumptions'!B16&lt;=DATE(2026,11,1),DATE(2026,11,1)&lt;=DATE(2026,12,1))),'Monthly forecast and cash'!D29,"")</f>
      </c>
    </row>
    <row r="351">
      <c r="A351" t="inlineStr" s="21">
        <is>
          <t xml:space="preserve">Calculation</t>
        </is>
      </c>
      <c r="B351">
        <f>IF(IF(AND('Editable assumptions'!B16&lt;=DATE(2026,12,1),DATE(2026,12,1)&lt;=DATE(2026,12,1))="",FALSE,AND('Editable assumptions'!B16&lt;=DATE(2026,12,1),DATE(2026,12,1)&lt;=DATE(2026,12,1))),'Monthly forecast and cash'!E29,"")</f>
      </c>
    </row>
    <row r="352">
      <c r="A352" t="inlineStr" s="21">
        <is>
          <t xml:space="preserve">Calculation</t>
        </is>
      </c>
      <c r="B352">
        <f>IF(IF(AND('Editable assumptions'!B16&lt;=DATE(2027,1,1),DATE(2027,1,1)&lt;=DATE(2026,12,1))="",FALSE,AND('Editable assumptions'!B16&lt;=DATE(2027,1,1),DATE(2027,1,1)&lt;=DATE(2026,12,1))),'Monthly forecast and cash'!F29,"")</f>
      </c>
    </row>
    <row r="353">
      <c r="A353" t="inlineStr" s="21">
        <is>
          <t xml:space="preserve">Calculation</t>
        </is>
      </c>
      <c r="B353">
        <f>IF(IF(AND('Editable assumptions'!B16&lt;=DATE(2027,2,1),DATE(2027,2,1)&lt;=DATE(2026,12,1))="",FALSE,AND('Editable assumptions'!B16&lt;=DATE(2027,2,1),DATE(2027,2,1)&lt;=DATE(2026,12,1))),'Monthly forecast and cash'!G29,"")</f>
      </c>
    </row>
    <row r="354">
      <c r="A354" t="inlineStr" s="21">
        <is>
          <t xml:space="preserve">Calculation</t>
        </is>
      </c>
      <c r="B354">
        <f>IF(IF(AND('Editable assumptions'!B16&lt;=DATE(2027,3,1),DATE(2027,3,1)&lt;=DATE(2026,12,1))="",FALSE,AND('Editable assumptions'!B16&lt;=DATE(2027,3,1),DATE(2027,3,1)&lt;=DATE(2026,12,1))),'Monthly forecast and cash'!H29,"")</f>
      </c>
    </row>
    <row r="355">
      <c r="A355" t="inlineStr" s="21">
        <is>
          <t xml:space="preserve">Calculation</t>
        </is>
      </c>
      <c r="B355">
        <f>IF(IF(AND('Editable assumptions'!B16&lt;=DATE(2027,4,1),DATE(2027,4,1)&lt;=DATE(2026,12,1))="",FALSE,AND('Editable assumptions'!B16&lt;=DATE(2027,4,1),DATE(2027,4,1)&lt;=DATE(2026,12,1))),'Monthly forecast and cash'!I29,"")</f>
      </c>
    </row>
    <row r="356">
      <c r="A356" t="inlineStr" s="21">
        <is>
          <t xml:space="preserve">Calculation</t>
        </is>
      </c>
      <c r="B356">
        <f>IF(IF(AND('Editable assumptions'!B16&lt;=DATE(2027,5,1),DATE(2027,5,1)&lt;=DATE(2026,12,1))="",FALSE,AND('Editable assumptions'!B16&lt;=DATE(2027,5,1),DATE(2027,5,1)&lt;=DATE(2026,12,1))),'Monthly forecast and cash'!J29,"")</f>
      </c>
    </row>
    <row r="357">
      <c r="A357" t="inlineStr" s="21">
        <is>
          <t xml:space="preserve">Calculation</t>
        </is>
      </c>
      <c r="B357">
        <f>IF(IF(AND('Editable assumptions'!B16&lt;=DATE(2027,6,1),DATE(2027,6,1)&lt;=DATE(2026,12,1))="",FALSE,AND('Editable assumptions'!B16&lt;=DATE(2027,6,1),DATE(2027,6,1)&lt;=DATE(2026,12,1))),'Monthly forecast and cash'!K29,"")</f>
      </c>
    </row>
    <row r="358">
      <c r="A358" t="inlineStr" s="21">
        <is>
          <t xml:space="preserve">Calculation</t>
        </is>
      </c>
      <c r="B358">
        <f>IF(IF(AND('Editable assumptions'!B16&lt;=DATE(2027,7,1),DATE(2027,7,1)&lt;=DATE(2026,12,1))="",FALSE,AND('Editable assumptions'!B16&lt;=DATE(2027,7,1),DATE(2027,7,1)&lt;=DATE(2026,12,1))),'Monthly forecast and cash'!L29,"")</f>
      </c>
    </row>
    <row r="359">
      <c r="A359" t="inlineStr" s="21">
        <is>
          <t xml:space="preserve">Calculation</t>
        </is>
      </c>
      <c r="B359">
        <f>IF(IF(AND('Editable assumptions'!B16&lt;=DATE(2027,8,1),DATE(2027,8,1)&lt;=DATE(2026,12,1))="",FALSE,AND('Editable assumptions'!B16&lt;=DATE(2027,8,1),DATE(2027,8,1)&lt;=DATE(2026,12,1))),'Monthly forecast and cash'!M29,"")</f>
      </c>
    </row>
    <row r="360">
      <c r="A360" t="inlineStr" s="21">
        <is>
          <t xml:space="preserve">Calculation</t>
        </is>
      </c>
      <c r="B360">
        <f>IF(IF(AND('Editable assumptions'!B16&lt;=DATE(2027,9,1),DATE(2027,9,1)&lt;=DATE(2026,12,1))="",FALSE,AND('Editable assumptions'!B16&lt;=DATE(2027,9,1),DATE(2027,9,1)&lt;=DATE(2026,12,1))),'Monthly forecast and cash'!N29,"")</f>
      </c>
    </row>
    <row r="361">
      <c r="A361" t="inlineStr" s="21">
        <is>
          <t xml:space="preserve">Calculation</t>
        </is>
      </c>
      <c r="B361">
        <f>IF(IF(AND('Editable assumptions'!B16&lt;=DATE(2027,10,1),DATE(2027,10,1)&lt;=DATE(2026,12,1))="",FALSE,AND('Editable assumptions'!B16&lt;=DATE(2027,10,1),DATE(2027,10,1)&lt;=DATE(2026,12,1))),'Monthly forecast and cash'!O29,"")</f>
      </c>
    </row>
    <row r="362">
      <c r="A362" t="inlineStr" s="21">
        <is>
          <t xml:space="preserve">Calculation</t>
        </is>
      </c>
      <c r="B362">
        <f>IF(IF(AND('Editable assumptions'!B16&lt;=DATE(2027,11,1),DATE(2027,11,1)&lt;=DATE(2026,12,1))="",FALSE,AND('Editable assumptions'!B16&lt;=DATE(2027,11,1),DATE(2027,11,1)&lt;=DATE(2026,12,1))),'Monthly forecast and cash'!P29,"")</f>
      </c>
    </row>
    <row r="363">
      <c r="A363" t="inlineStr" s="21">
        <is>
          <t xml:space="preserve">Calculation</t>
        </is>
      </c>
      <c r="B363">
        <f>IF(IF(AND('Editable assumptions'!B16&lt;=DATE(2027,12,1),DATE(2027,12,1)&lt;=DATE(2026,12,1))="",FALSE,AND('Editable assumptions'!B16&lt;=DATE(2027,12,1),DATE(2027,12,1)&lt;=DATE(2026,12,1))),'Monthly forecast and cash'!Q29,"")</f>
      </c>
    </row>
    <row r="364">
      <c r="A364" t="inlineStr" s="21">
        <is>
          <t xml:space="preserve">Calculation</t>
        </is>
      </c>
      <c r="B364">
        <f>IF(IF(AND('Editable assumptions'!B16&lt;=DATE(2028,1,1),DATE(2028,1,1)&lt;=DATE(2026,12,1))="",FALSE,AND('Editable assumptions'!B16&lt;=DATE(2028,1,1),DATE(2028,1,1)&lt;=DATE(2026,12,1))),'Monthly forecast and cash'!R29,"")</f>
      </c>
    </row>
    <row r="365">
      <c r="A365" t="inlineStr" s="21">
        <is>
          <t xml:space="preserve">Calculation</t>
        </is>
      </c>
      <c r="B365">
        <f>IF(IF(AND('Editable assumptions'!B16&lt;=DATE(2028,2,1),DATE(2028,2,1)&lt;=DATE(2026,12,1))="",FALSE,AND('Editable assumptions'!B16&lt;=DATE(2028,2,1),DATE(2028,2,1)&lt;=DATE(2026,12,1))),'Monthly forecast and cash'!S29,"")</f>
      </c>
    </row>
    <row r="366">
      <c r="A366" t="inlineStr" s="21">
        <is>
          <t xml:space="preserve">Calculation</t>
        </is>
      </c>
      <c r="B366">
        <f>IF(IF(AND('Editable assumptions'!B16&lt;=DATE(2028,3,1),DATE(2028,3,1)&lt;=DATE(2026,12,1))="",FALSE,AND('Editable assumptions'!B16&lt;=DATE(2028,3,1),DATE(2028,3,1)&lt;=DATE(2026,12,1))),'Monthly forecast and cash'!T29,"")</f>
      </c>
    </row>
    <row r="367">
      <c r="A367" t="inlineStr" s="21">
        <is>
          <t xml:space="preserve">Calculation</t>
        </is>
      </c>
      <c r="B367">
        <f>IF(IF(AND('Editable assumptions'!B16&lt;=DATE(2028,4,1),DATE(2028,4,1)&lt;=DATE(2026,12,1))="",FALSE,AND('Editable assumptions'!B16&lt;=DATE(2028,4,1),DATE(2028,4,1)&lt;=DATE(2026,12,1))),'Monthly forecast and cash'!U29,"")</f>
      </c>
    </row>
    <row r="368">
      <c r="A368" t="inlineStr" s="21">
        <is>
          <t xml:space="preserve">Calculation</t>
        </is>
      </c>
      <c r="B368">
        <f>IF(IF(AND('Editable assumptions'!B16&lt;=DATE(2028,5,1),DATE(2028,5,1)&lt;=DATE(2026,12,1))="",FALSE,AND('Editable assumptions'!B16&lt;=DATE(2028,5,1),DATE(2028,5,1)&lt;=DATE(2026,12,1))),'Monthly forecast and cash'!V29,"")</f>
      </c>
    </row>
    <row r="369">
      <c r="A369" t="inlineStr" s="21">
        <is>
          <t xml:space="preserve">Calculation</t>
        </is>
      </c>
      <c r="B369">
        <f>IF(IF(AND('Editable assumptions'!B16&lt;=DATE(2028,6,1),DATE(2028,6,1)&lt;=DATE(2026,12,1))="",FALSE,AND('Editable assumptions'!B16&lt;=DATE(2028,6,1),DATE(2028,6,1)&lt;=DATE(2026,12,1))),'Monthly forecast and cash'!W29,"")</f>
      </c>
    </row>
    <row r="370">
      <c r="A370" t="inlineStr" s="21">
        <is>
          <t xml:space="preserve">Calculation</t>
        </is>
      </c>
      <c r="B370">
        <f>IF(IF(AND('Editable assumptions'!B16&lt;=DATE(2028,7,1),DATE(2028,7,1)&lt;=DATE(2026,12,1))="",FALSE,AND('Editable assumptions'!B16&lt;=DATE(2028,7,1),DATE(2028,7,1)&lt;=DATE(2026,12,1))),'Monthly forecast and cash'!X29,"")</f>
      </c>
    </row>
    <row r="371">
      <c r="A371" t="inlineStr" s="21">
        <is>
          <t xml:space="preserve">Calculation</t>
        </is>
      </c>
      <c r="B371">
        <f>IF(IF(AND('Editable assumptions'!B16&lt;=DATE(2028,8,1),DATE(2028,8,1)&lt;=DATE(2026,12,1))="",FALSE,AND('Editable assumptions'!B16&lt;=DATE(2028,8,1),DATE(2028,8,1)&lt;=DATE(2026,12,1))),'Monthly forecast and cash'!Y29,"")</f>
      </c>
    </row>
    <row r="372">
      <c r="A372" t="inlineStr" s="21">
        <is>
          <t xml:space="preserve">Calculation</t>
        </is>
      </c>
      <c r="B372">
        <f>IF(IF(AND('Editable assumptions'!B16&lt;=DATE(2028,9,1),DATE(2028,9,1)&lt;=DATE(2026,12,1))="",FALSE,AND('Editable assumptions'!B16&lt;=DATE(2028,9,1),DATE(2028,9,1)&lt;=DATE(2026,12,1))),'Monthly forecast and cash'!Z29,"")</f>
      </c>
    </row>
    <row r="373">
      <c r="A373" t="inlineStr" s="21">
        <is>
          <t xml:space="preserve">Calculation</t>
        </is>
      </c>
      <c r="B373">
        <f>IF(IF(AND('Editable assumptions'!B16&lt;=DATE(2026,1,1),DATE(2026,1,1)&lt;=DATE(2026,12,1))="",FALSE,AND('Editable assumptions'!B16&lt;=DATE(2026,1,1),DATE(2026,1,1)&lt;=DATE(2026,12,1))),'Model inputs'!D12,"")</f>
      </c>
    </row>
    <row r="374">
      <c r="A374" t="inlineStr" s="21">
        <is>
          <t xml:space="preserve">Calculation</t>
        </is>
      </c>
      <c r="B374">
        <f>IF(IF(AND('Editable assumptions'!B16&lt;=DATE(2026,2,1),DATE(2026,2,1)&lt;=DATE(2026,12,1))="",FALSE,AND('Editable assumptions'!B16&lt;=DATE(2026,2,1),DATE(2026,2,1)&lt;=DATE(2026,12,1))),'Model inputs'!E12,"")</f>
      </c>
    </row>
    <row r="375">
      <c r="A375" t="inlineStr" s="21">
        <is>
          <t xml:space="preserve">Calculation</t>
        </is>
      </c>
      <c r="B375">
        <f>IF(IF(AND('Editable assumptions'!B16&lt;=DATE(2026,3,1),DATE(2026,3,1)&lt;=DATE(2026,12,1))="",FALSE,AND('Editable assumptions'!B16&lt;=DATE(2026,3,1),DATE(2026,3,1)&lt;=DATE(2026,12,1))),'Model inputs'!F12,"")</f>
      </c>
    </row>
    <row r="376">
      <c r="A376" t="inlineStr" s="21">
        <is>
          <t xml:space="preserve">Calculation</t>
        </is>
      </c>
      <c r="B376">
        <f>IF(IF(AND('Editable assumptions'!B16&lt;=DATE(2026,4,1),DATE(2026,4,1)&lt;=DATE(2026,12,1))="",FALSE,AND('Editable assumptions'!B16&lt;=DATE(2026,4,1),DATE(2026,4,1)&lt;=DATE(2026,12,1))),'Model inputs'!G12,"")</f>
      </c>
    </row>
    <row r="377">
      <c r="A377" t="inlineStr" s="21">
        <is>
          <t xml:space="preserve">Calculation</t>
        </is>
      </c>
      <c r="B377">
        <f>IF(IF(AND('Editable assumptions'!B16&lt;=DATE(2026,5,1),DATE(2026,5,1)&lt;=DATE(2026,12,1))="",FALSE,AND('Editable assumptions'!B16&lt;=DATE(2026,5,1),DATE(2026,5,1)&lt;=DATE(2026,12,1))),'Model inputs'!H12,"")</f>
      </c>
    </row>
    <row r="378">
      <c r="A378" t="inlineStr" s="21">
        <is>
          <t xml:space="preserve">Calculation</t>
        </is>
      </c>
      <c r="B378">
        <f>IF(IF(AND('Editable assumptions'!B16&lt;=DATE(2026,6,1),DATE(2026,6,1)&lt;=DATE(2026,12,1))="",FALSE,AND('Editable assumptions'!B16&lt;=DATE(2026,6,1),DATE(2026,6,1)&lt;=DATE(2026,12,1))),'Model inputs'!I12,"")</f>
      </c>
    </row>
    <row r="379">
      <c r="A379" t="inlineStr" s="21">
        <is>
          <t xml:space="preserve">Calculation</t>
        </is>
      </c>
      <c r="B379">
        <f>IF(IF(AND('Editable assumptions'!B16&lt;=DATE(2026,7,1),DATE(2026,7,1)&lt;=DATE(2026,12,1))="",FALSE,AND('Editable assumptions'!B16&lt;=DATE(2026,7,1),DATE(2026,7,1)&lt;=DATE(2026,12,1))),'Model inputs'!J12,"")</f>
      </c>
    </row>
    <row r="380">
      <c r="A380" t="inlineStr" s="21">
        <is>
          <t xml:space="preserve">Calculation</t>
        </is>
      </c>
      <c r="B380">
        <f>IF(IF(AND('Editable assumptions'!B16&lt;=DATE(2026,8,1),DATE(2026,8,1)&lt;=DATE(2026,12,1))="",FALSE,AND('Editable assumptions'!B16&lt;=DATE(2026,8,1),DATE(2026,8,1)&lt;=DATE(2026,12,1))),'Model inputs'!K12,"")</f>
      </c>
    </row>
    <row r="381">
      <c r="A381" t="inlineStr" s="21">
        <is>
          <t xml:space="preserve">Calculation</t>
        </is>
      </c>
      <c r="B381">
        <f>IF(AND('Model inputs'!B348="",'Model inputs'!B349="",'Model inputs'!B350="",'Model inputs'!B351="",'Model inputs'!B352="",'Model inputs'!B353="",'Model inputs'!B354="",'Model inputs'!B355="",'Model inputs'!B356="",'Model inputs'!B357="",'Model inputs'!B358="",'Model inputs'!B359="",'Model inputs'!B360="",'Model inputs'!B361="",'Model inputs'!B362="",'Model inputs'!B363="",'Model inputs'!B364="",'Model inputs'!B365="",'Model inputs'!B366="",'Model inputs'!B367="",'Model inputs'!B368="",'Model inputs'!B369="",'Model inputs'!B370="",'Model inputs'!B371="",'Model inputs'!B372="",'Model inputs'!B373="",'Model inputs'!B374="",'Model inputs'!B375="",'Model inputs'!B376="",'Model inputs'!B377="",'Model inputs'!B378="",'Model inputs'!B379="",'Model inputs'!B380=""),"",MIN('Model inputs'!B348,'Model inputs'!B349,'Model inputs'!B350,'Model inputs'!B351,'Model inputs'!B352,'Model inputs'!B353,'Model inputs'!B354,'Model inputs'!B355,'Model inputs'!B356,'Model inputs'!B357,'Model inputs'!B358,'Model inputs'!B359,'Model inputs'!B360,'Model inputs'!B361,'Model inputs'!B362,'Model inputs'!B363,'Model inputs'!B364,'Model inputs'!B365,'Model inputs'!B366,'Model inputs'!B367,'Model inputs'!B368,'Model inputs'!B369,'Model inputs'!B370,'Model inputs'!B371,'Model inputs'!B372,'Model inputs'!B373,'Model inputs'!B374,'Model inputs'!B375,'Model inputs'!B376,'Model inputs'!B377,'Model inputs'!B378,'Model inputs'!B379,'Model inputs'!B380))</f>
      </c>
    </row>
    <row r="382">
      <c r="A382" t="inlineStr" s="21">
        <is>
          <t xml:space="preserve">Calculation</t>
        </is>
      </c>
      <c r="B382">
        <f>IF(IF(AND('Editable assumptions'!B16&lt;=DATE(2026,9,1),DATE(2026,9,1)&lt;=DATE(2027,1,1))="",FALSE,AND('Editable assumptions'!B16&lt;=DATE(2026,9,1),DATE(2026,9,1)&lt;=DATE(2027,1,1))),'Monthly forecast and cash'!B29,"")</f>
      </c>
    </row>
    <row r="383">
      <c r="A383" t="inlineStr" s="21">
        <is>
          <t xml:space="preserve">Calculation</t>
        </is>
      </c>
      <c r="B383">
        <f>IF(IF(AND('Editable assumptions'!B16&lt;=DATE(2026,10,1),DATE(2026,10,1)&lt;=DATE(2027,1,1))="",FALSE,AND('Editable assumptions'!B16&lt;=DATE(2026,10,1),DATE(2026,10,1)&lt;=DATE(2027,1,1))),'Monthly forecast and cash'!C29,"")</f>
      </c>
    </row>
    <row r="384">
      <c r="A384" t="inlineStr" s="21">
        <is>
          <t xml:space="preserve">Calculation</t>
        </is>
      </c>
      <c r="B384">
        <f>IF(IF(AND('Editable assumptions'!B16&lt;=DATE(2026,11,1),DATE(2026,11,1)&lt;=DATE(2027,1,1))="",FALSE,AND('Editable assumptions'!B16&lt;=DATE(2026,11,1),DATE(2026,11,1)&lt;=DATE(2027,1,1))),'Monthly forecast and cash'!D29,"")</f>
      </c>
    </row>
    <row r="385">
      <c r="A385" t="inlineStr" s="21">
        <is>
          <t xml:space="preserve">Calculation</t>
        </is>
      </c>
      <c r="B385">
        <f>IF(IF(AND('Editable assumptions'!B16&lt;=DATE(2026,12,1),DATE(2026,12,1)&lt;=DATE(2027,1,1))="",FALSE,AND('Editable assumptions'!B16&lt;=DATE(2026,12,1),DATE(2026,12,1)&lt;=DATE(2027,1,1))),'Monthly forecast and cash'!E29,"")</f>
      </c>
    </row>
    <row r="386">
      <c r="A386" t="inlineStr" s="21">
        <is>
          <t xml:space="preserve">Calculation</t>
        </is>
      </c>
      <c r="B386">
        <f>IF(IF(AND('Editable assumptions'!B16&lt;=DATE(2027,1,1),DATE(2027,1,1)&lt;=DATE(2027,1,1))="",FALSE,AND('Editable assumptions'!B16&lt;=DATE(2027,1,1),DATE(2027,1,1)&lt;=DATE(2027,1,1))),'Monthly forecast and cash'!F29,"")</f>
      </c>
    </row>
    <row r="387">
      <c r="A387" t="inlineStr" s="21">
        <is>
          <t xml:space="preserve">Calculation</t>
        </is>
      </c>
      <c r="B387">
        <f>IF(IF(AND('Editable assumptions'!B16&lt;=DATE(2027,2,1),DATE(2027,2,1)&lt;=DATE(2027,1,1))="",FALSE,AND('Editable assumptions'!B16&lt;=DATE(2027,2,1),DATE(2027,2,1)&lt;=DATE(2027,1,1))),'Monthly forecast and cash'!G29,"")</f>
      </c>
    </row>
    <row r="388">
      <c r="A388" t="inlineStr" s="21">
        <is>
          <t xml:space="preserve">Calculation</t>
        </is>
      </c>
      <c r="B388">
        <f>IF(IF(AND('Editable assumptions'!B16&lt;=DATE(2027,3,1),DATE(2027,3,1)&lt;=DATE(2027,1,1))="",FALSE,AND('Editable assumptions'!B16&lt;=DATE(2027,3,1),DATE(2027,3,1)&lt;=DATE(2027,1,1))),'Monthly forecast and cash'!H29,"")</f>
      </c>
    </row>
    <row r="389">
      <c r="A389" t="inlineStr" s="21">
        <is>
          <t xml:space="preserve">Calculation</t>
        </is>
      </c>
      <c r="B389">
        <f>IF(IF(AND('Editable assumptions'!B16&lt;=DATE(2027,4,1),DATE(2027,4,1)&lt;=DATE(2027,1,1))="",FALSE,AND('Editable assumptions'!B16&lt;=DATE(2027,4,1),DATE(2027,4,1)&lt;=DATE(2027,1,1))),'Monthly forecast and cash'!I29,"")</f>
      </c>
    </row>
    <row r="390">
      <c r="A390" t="inlineStr" s="21">
        <is>
          <t xml:space="preserve">Calculation</t>
        </is>
      </c>
      <c r="B390">
        <f>IF(IF(AND('Editable assumptions'!B16&lt;=DATE(2027,5,1),DATE(2027,5,1)&lt;=DATE(2027,1,1))="",FALSE,AND('Editable assumptions'!B16&lt;=DATE(2027,5,1),DATE(2027,5,1)&lt;=DATE(2027,1,1))),'Monthly forecast and cash'!J29,"")</f>
      </c>
    </row>
    <row r="391">
      <c r="A391" t="inlineStr" s="21">
        <is>
          <t xml:space="preserve">Calculation</t>
        </is>
      </c>
      <c r="B391">
        <f>IF(IF(AND('Editable assumptions'!B16&lt;=DATE(2027,6,1),DATE(2027,6,1)&lt;=DATE(2027,1,1))="",FALSE,AND('Editable assumptions'!B16&lt;=DATE(2027,6,1),DATE(2027,6,1)&lt;=DATE(2027,1,1))),'Monthly forecast and cash'!K29,"")</f>
      </c>
    </row>
    <row r="392">
      <c r="A392" t="inlineStr" s="21">
        <is>
          <t xml:space="preserve">Calculation</t>
        </is>
      </c>
      <c r="B392">
        <f>IF(IF(AND('Editable assumptions'!B16&lt;=DATE(2027,7,1),DATE(2027,7,1)&lt;=DATE(2027,1,1))="",FALSE,AND('Editable assumptions'!B16&lt;=DATE(2027,7,1),DATE(2027,7,1)&lt;=DATE(2027,1,1))),'Monthly forecast and cash'!L29,"")</f>
      </c>
    </row>
    <row r="393">
      <c r="A393" t="inlineStr" s="21">
        <is>
          <t xml:space="preserve">Calculation</t>
        </is>
      </c>
      <c r="B393">
        <f>IF(IF(AND('Editable assumptions'!B16&lt;=DATE(2027,8,1),DATE(2027,8,1)&lt;=DATE(2027,1,1))="",FALSE,AND('Editable assumptions'!B16&lt;=DATE(2027,8,1),DATE(2027,8,1)&lt;=DATE(2027,1,1))),'Monthly forecast and cash'!M29,"")</f>
      </c>
    </row>
    <row r="394">
      <c r="A394" t="inlineStr" s="21">
        <is>
          <t xml:space="preserve">Calculation</t>
        </is>
      </c>
      <c r="B394">
        <f>IF(IF(AND('Editable assumptions'!B16&lt;=DATE(2027,9,1),DATE(2027,9,1)&lt;=DATE(2027,1,1))="",FALSE,AND('Editable assumptions'!B16&lt;=DATE(2027,9,1),DATE(2027,9,1)&lt;=DATE(2027,1,1))),'Monthly forecast and cash'!N29,"")</f>
      </c>
    </row>
    <row r="395">
      <c r="A395" t="inlineStr" s="21">
        <is>
          <t xml:space="preserve">Calculation</t>
        </is>
      </c>
      <c r="B395">
        <f>IF(IF(AND('Editable assumptions'!B16&lt;=DATE(2027,10,1),DATE(2027,10,1)&lt;=DATE(2027,1,1))="",FALSE,AND('Editable assumptions'!B16&lt;=DATE(2027,10,1),DATE(2027,10,1)&lt;=DATE(2027,1,1))),'Monthly forecast and cash'!O29,"")</f>
      </c>
    </row>
    <row r="396">
      <c r="A396" t="inlineStr" s="21">
        <is>
          <t xml:space="preserve">Calculation</t>
        </is>
      </c>
      <c r="B396">
        <f>IF(IF(AND('Editable assumptions'!B16&lt;=DATE(2027,11,1),DATE(2027,11,1)&lt;=DATE(2027,1,1))="",FALSE,AND('Editable assumptions'!B16&lt;=DATE(2027,11,1),DATE(2027,11,1)&lt;=DATE(2027,1,1))),'Monthly forecast and cash'!P29,"")</f>
      </c>
    </row>
    <row r="397">
      <c r="A397" t="inlineStr" s="21">
        <is>
          <t xml:space="preserve">Calculation</t>
        </is>
      </c>
      <c r="B397">
        <f>IF(IF(AND('Editable assumptions'!B16&lt;=DATE(2027,12,1),DATE(2027,12,1)&lt;=DATE(2027,1,1))="",FALSE,AND('Editable assumptions'!B16&lt;=DATE(2027,12,1),DATE(2027,12,1)&lt;=DATE(2027,1,1))),'Monthly forecast and cash'!Q29,"")</f>
      </c>
    </row>
    <row r="398">
      <c r="A398" t="inlineStr" s="21">
        <is>
          <t xml:space="preserve">Calculation</t>
        </is>
      </c>
      <c r="B398">
        <f>IF(IF(AND('Editable assumptions'!B16&lt;=DATE(2028,1,1),DATE(2028,1,1)&lt;=DATE(2027,1,1))="",FALSE,AND('Editable assumptions'!B16&lt;=DATE(2028,1,1),DATE(2028,1,1)&lt;=DATE(2027,1,1))),'Monthly forecast and cash'!R29,"")</f>
      </c>
    </row>
    <row r="399">
      <c r="A399" t="inlineStr" s="21">
        <is>
          <t xml:space="preserve">Calculation</t>
        </is>
      </c>
      <c r="B399">
        <f>IF(IF(AND('Editable assumptions'!B16&lt;=DATE(2028,2,1),DATE(2028,2,1)&lt;=DATE(2027,1,1))="",FALSE,AND('Editable assumptions'!B16&lt;=DATE(2028,2,1),DATE(2028,2,1)&lt;=DATE(2027,1,1))),'Monthly forecast and cash'!S29,"")</f>
      </c>
    </row>
    <row r="400">
      <c r="A400" t="inlineStr" s="21">
        <is>
          <t xml:space="preserve">Calculation</t>
        </is>
      </c>
      <c r="B400">
        <f>IF(IF(AND('Editable assumptions'!B16&lt;=DATE(2028,3,1),DATE(2028,3,1)&lt;=DATE(2027,1,1))="",FALSE,AND('Editable assumptions'!B16&lt;=DATE(2028,3,1),DATE(2028,3,1)&lt;=DATE(2027,1,1))),'Monthly forecast and cash'!T29,"")</f>
      </c>
    </row>
    <row r="401">
      <c r="A401" t="inlineStr" s="21">
        <is>
          <t xml:space="preserve">Calculation</t>
        </is>
      </c>
      <c r="B401">
        <f>IF(IF(AND('Editable assumptions'!B16&lt;=DATE(2028,4,1),DATE(2028,4,1)&lt;=DATE(2027,1,1))="",FALSE,AND('Editable assumptions'!B16&lt;=DATE(2028,4,1),DATE(2028,4,1)&lt;=DATE(2027,1,1))),'Monthly forecast and cash'!U29,"")</f>
      </c>
    </row>
    <row r="402">
      <c r="A402" t="inlineStr" s="21">
        <is>
          <t xml:space="preserve">Calculation</t>
        </is>
      </c>
      <c r="B402">
        <f>IF(IF(AND('Editable assumptions'!B16&lt;=DATE(2028,5,1),DATE(2028,5,1)&lt;=DATE(2027,1,1))="",FALSE,AND('Editable assumptions'!B16&lt;=DATE(2028,5,1),DATE(2028,5,1)&lt;=DATE(2027,1,1))),'Monthly forecast and cash'!V29,"")</f>
      </c>
    </row>
    <row r="403">
      <c r="A403" t="inlineStr" s="21">
        <is>
          <t xml:space="preserve">Calculation</t>
        </is>
      </c>
      <c r="B403">
        <f>IF(IF(AND('Editable assumptions'!B16&lt;=DATE(2028,6,1),DATE(2028,6,1)&lt;=DATE(2027,1,1))="",FALSE,AND('Editable assumptions'!B16&lt;=DATE(2028,6,1),DATE(2028,6,1)&lt;=DATE(2027,1,1))),'Monthly forecast and cash'!W29,"")</f>
      </c>
    </row>
    <row r="404">
      <c r="A404" t="inlineStr" s="21">
        <is>
          <t xml:space="preserve">Calculation</t>
        </is>
      </c>
      <c r="B404">
        <f>IF(IF(AND('Editable assumptions'!B16&lt;=DATE(2028,7,1),DATE(2028,7,1)&lt;=DATE(2027,1,1))="",FALSE,AND('Editable assumptions'!B16&lt;=DATE(2028,7,1),DATE(2028,7,1)&lt;=DATE(2027,1,1))),'Monthly forecast and cash'!X29,"")</f>
      </c>
    </row>
    <row r="405">
      <c r="A405" t="inlineStr" s="21">
        <is>
          <t xml:space="preserve">Calculation</t>
        </is>
      </c>
      <c r="B405">
        <f>IF(IF(AND('Editable assumptions'!B16&lt;=DATE(2028,8,1),DATE(2028,8,1)&lt;=DATE(2027,1,1))="",FALSE,AND('Editable assumptions'!B16&lt;=DATE(2028,8,1),DATE(2028,8,1)&lt;=DATE(2027,1,1))),'Monthly forecast and cash'!Y29,"")</f>
      </c>
    </row>
    <row r="406">
      <c r="A406" t="inlineStr" s="21">
        <is>
          <t xml:space="preserve">Calculation</t>
        </is>
      </c>
      <c r="B406">
        <f>IF(IF(AND('Editable assumptions'!B16&lt;=DATE(2028,9,1),DATE(2028,9,1)&lt;=DATE(2027,1,1))="",FALSE,AND('Editable assumptions'!B16&lt;=DATE(2028,9,1),DATE(2028,9,1)&lt;=DATE(2027,1,1))),'Monthly forecast and cash'!Z29,"")</f>
      </c>
    </row>
    <row r="407">
      <c r="A407" t="inlineStr" s="21">
        <is>
          <t xml:space="preserve">Calculation</t>
        </is>
      </c>
      <c r="B407">
        <f>IF(IF(AND('Editable assumptions'!B16&lt;=DATE(2026,1,1),DATE(2026,1,1)&lt;=DATE(2027,1,1))="",FALSE,AND('Editable assumptions'!B16&lt;=DATE(2026,1,1),DATE(2026,1,1)&lt;=DATE(2027,1,1))),'Model inputs'!D12,"")</f>
      </c>
    </row>
    <row r="408">
      <c r="A408" t="inlineStr" s="21">
        <is>
          <t xml:space="preserve">Calculation</t>
        </is>
      </c>
      <c r="B408">
        <f>IF(IF(AND('Editable assumptions'!B16&lt;=DATE(2026,2,1),DATE(2026,2,1)&lt;=DATE(2027,1,1))="",FALSE,AND('Editable assumptions'!B16&lt;=DATE(2026,2,1),DATE(2026,2,1)&lt;=DATE(2027,1,1))),'Model inputs'!E12,"")</f>
      </c>
    </row>
    <row r="409">
      <c r="A409" t="inlineStr" s="21">
        <is>
          <t xml:space="preserve">Calculation</t>
        </is>
      </c>
      <c r="B409">
        <f>IF(IF(AND('Editable assumptions'!B16&lt;=DATE(2026,3,1),DATE(2026,3,1)&lt;=DATE(2027,1,1))="",FALSE,AND('Editable assumptions'!B16&lt;=DATE(2026,3,1),DATE(2026,3,1)&lt;=DATE(2027,1,1))),'Model inputs'!F12,"")</f>
      </c>
    </row>
    <row r="410">
      <c r="A410" t="inlineStr" s="21">
        <is>
          <t xml:space="preserve">Calculation</t>
        </is>
      </c>
      <c r="B410">
        <f>IF(IF(AND('Editable assumptions'!B16&lt;=DATE(2026,4,1),DATE(2026,4,1)&lt;=DATE(2027,1,1))="",FALSE,AND('Editable assumptions'!B16&lt;=DATE(2026,4,1),DATE(2026,4,1)&lt;=DATE(2027,1,1))),'Model inputs'!G12,"")</f>
      </c>
    </row>
    <row r="411">
      <c r="A411" t="inlineStr" s="21">
        <is>
          <t xml:space="preserve">Calculation</t>
        </is>
      </c>
      <c r="B411">
        <f>IF(IF(AND('Editable assumptions'!B16&lt;=DATE(2026,5,1),DATE(2026,5,1)&lt;=DATE(2027,1,1))="",FALSE,AND('Editable assumptions'!B16&lt;=DATE(2026,5,1),DATE(2026,5,1)&lt;=DATE(2027,1,1))),'Model inputs'!H12,"")</f>
      </c>
    </row>
    <row r="412">
      <c r="A412" t="inlineStr" s="21">
        <is>
          <t xml:space="preserve">Calculation</t>
        </is>
      </c>
      <c r="B412">
        <f>IF(IF(AND('Editable assumptions'!B16&lt;=DATE(2026,6,1),DATE(2026,6,1)&lt;=DATE(2027,1,1))="",FALSE,AND('Editable assumptions'!B16&lt;=DATE(2026,6,1),DATE(2026,6,1)&lt;=DATE(2027,1,1))),'Model inputs'!I12,"")</f>
      </c>
    </row>
    <row r="413">
      <c r="A413" t="inlineStr" s="21">
        <is>
          <t xml:space="preserve">Calculation</t>
        </is>
      </c>
      <c r="B413">
        <f>IF(IF(AND('Editable assumptions'!B16&lt;=DATE(2026,7,1),DATE(2026,7,1)&lt;=DATE(2027,1,1))="",FALSE,AND('Editable assumptions'!B16&lt;=DATE(2026,7,1),DATE(2026,7,1)&lt;=DATE(2027,1,1))),'Model inputs'!J12,"")</f>
      </c>
    </row>
    <row r="414">
      <c r="A414" t="inlineStr" s="21">
        <is>
          <t xml:space="preserve">Calculation</t>
        </is>
      </c>
      <c r="B414">
        <f>IF(IF(AND('Editable assumptions'!B16&lt;=DATE(2026,8,1),DATE(2026,8,1)&lt;=DATE(2027,1,1))="",FALSE,AND('Editable assumptions'!B16&lt;=DATE(2026,8,1),DATE(2026,8,1)&lt;=DATE(2027,1,1))),'Model inputs'!K12,"")</f>
      </c>
    </row>
    <row r="415">
      <c r="A415" t="inlineStr" s="21">
        <is>
          <t xml:space="preserve">Calculation</t>
        </is>
      </c>
      <c r="B415">
        <f>IF(AND('Model inputs'!B382="",'Model inputs'!B383="",'Model inputs'!B384="",'Model inputs'!B385="",'Model inputs'!B386="",'Model inputs'!B387="",'Model inputs'!B388="",'Model inputs'!B389="",'Model inputs'!B390="",'Model inputs'!B391="",'Model inputs'!B392="",'Model inputs'!B393="",'Model inputs'!B394="",'Model inputs'!B395="",'Model inputs'!B396="",'Model inputs'!B397="",'Model inputs'!B398="",'Model inputs'!B399="",'Model inputs'!B400="",'Model inputs'!B401="",'Model inputs'!B402="",'Model inputs'!B403="",'Model inputs'!B404="",'Model inputs'!B405="",'Model inputs'!B406="",'Model inputs'!B407="",'Model inputs'!B408="",'Model inputs'!B409="",'Model inputs'!B410="",'Model inputs'!B411="",'Model inputs'!B412="",'Model inputs'!B413="",'Model inputs'!B414=""),"",MIN('Model inputs'!B382,'Model inputs'!B383,'Model inputs'!B384,'Model inputs'!B385,'Model inputs'!B386,'Model inputs'!B387,'Model inputs'!B388,'Model inputs'!B389,'Model inputs'!B390,'Model inputs'!B391,'Model inputs'!B392,'Model inputs'!B393,'Model inputs'!B394,'Model inputs'!B395,'Model inputs'!B396,'Model inputs'!B397,'Model inputs'!B398,'Model inputs'!B399,'Model inputs'!B400,'Model inputs'!B401,'Model inputs'!B402,'Model inputs'!B403,'Model inputs'!B404,'Model inputs'!B405,'Model inputs'!B406,'Model inputs'!B407,'Model inputs'!B408,'Model inputs'!B409,'Model inputs'!B410,'Model inputs'!B411,'Model inputs'!B412,'Model inputs'!B413,'Model inputs'!B414))</f>
      </c>
    </row>
    <row r="416">
      <c r="A416" t="inlineStr" s="21">
        <is>
          <t xml:space="preserve">Calculation</t>
        </is>
      </c>
      <c r="B416">
        <f>IF(IF(AND('Editable assumptions'!B16&lt;=DATE(2026,9,1),DATE(2026,9,1)&lt;=DATE(2027,2,1))="",FALSE,AND('Editable assumptions'!B16&lt;=DATE(2026,9,1),DATE(2026,9,1)&lt;=DATE(2027,2,1))),'Monthly forecast and cash'!B29,"")</f>
      </c>
    </row>
    <row r="417">
      <c r="A417" t="inlineStr" s="21">
        <is>
          <t xml:space="preserve">Calculation</t>
        </is>
      </c>
      <c r="B417">
        <f>IF(IF(AND('Editable assumptions'!B16&lt;=DATE(2026,10,1),DATE(2026,10,1)&lt;=DATE(2027,2,1))="",FALSE,AND('Editable assumptions'!B16&lt;=DATE(2026,10,1),DATE(2026,10,1)&lt;=DATE(2027,2,1))),'Monthly forecast and cash'!C29,"")</f>
      </c>
    </row>
    <row r="418">
      <c r="A418" t="inlineStr" s="21">
        <is>
          <t xml:space="preserve">Calculation</t>
        </is>
      </c>
      <c r="B418">
        <f>IF(IF(AND('Editable assumptions'!B16&lt;=DATE(2026,11,1),DATE(2026,11,1)&lt;=DATE(2027,2,1))="",FALSE,AND('Editable assumptions'!B16&lt;=DATE(2026,11,1),DATE(2026,11,1)&lt;=DATE(2027,2,1))),'Monthly forecast and cash'!D29,"")</f>
      </c>
    </row>
    <row r="419">
      <c r="A419" t="inlineStr" s="21">
        <is>
          <t xml:space="preserve">Calculation</t>
        </is>
      </c>
      <c r="B419">
        <f>IF(IF(AND('Editable assumptions'!B16&lt;=DATE(2026,12,1),DATE(2026,12,1)&lt;=DATE(2027,2,1))="",FALSE,AND('Editable assumptions'!B16&lt;=DATE(2026,12,1),DATE(2026,12,1)&lt;=DATE(2027,2,1))),'Monthly forecast and cash'!E29,"")</f>
      </c>
    </row>
    <row r="420">
      <c r="A420" t="inlineStr" s="21">
        <is>
          <t xml:space="preserve">Calculation</t>
        </is>
      </c>
      <c r="B420">
        <f>IF(IF(AND('Editable assumptions'!B16&lt;=DATE(2027,1,1),DATE(2027,1,1)&lt;=DATE(2027,2,1))="",FALSE,AND('Editable assumptions'!B16&lt;=DATE(2027,1,1),DATE(2027,1,1)&lt;=DATE(2027,2,1))),'Monthly forecast and cash'!F29,"")</f>
      </c>
    </row>
    <row r="421">
      <c r="A421" t="inlineStr" s="21">
        <is>
          <t xml:space="preserve">Calculation</t>
        </is>
      </c>
      <c r="B421">
        <f>IF(IF(AND('Editable assumptions'!B16&lt;=DATE(2027,2,1),DATE(2027,2,1)&lt;=DATE(2027,2,1))="",FALSE,AND('Editable assumptions'!B16&lt;=DATE(2027,2,1),DATE(2027,2,1)&lt;=DATE(2027,2,1))),'Monthly forecast and cash'!G29,"")</f>
      </c>
    </row>
    <row r="422">
      <c r="A422" t="inlineStr" s="21">
        <is>
          <t xml:space="preserve">Calculation</t>
        </is>
      </c>
      <c r="B422">
        <f>IF(IF(AND('Editable assumptions'!B16&lt;=DATE(2027,3,1),DATE(2027,3,1)&lt;=DATE(2027,2,1))="",FALSE,AND('Editable assumptions'!B16&lt;=DATE(2027,3,1),DATE(2027,3,1)&lt;=DATE(2027,2,1))),'Monthly forecast and cash'!H29,"")</f>
      </c>
    </row>
    <row r="423">
      <c r="A423" t="inlineStr" s="21">
        <is>
          <t xml:space="preserve">Calculation</t>
        </is>
      </c>
      <c r="B423">
        <f>IF(IF(AND('Editable assumptions'!B16&lt;=DATE(2027,4,1),DATE(2027,4,1)&lt;=DATE(2027,2,1))="",FALSE,AND('Editable assumptions'!B16&lt;=DATE(2027,4,1),DATE(2027,4,1)&lt;=DATE(2027,2,1))),'Monthly forecast and cash'!I29,"")</f>
      </c>
    </row>
    <row r="424">
      <c r="A424" t="inlineStr" s="21">
        <is>
          <t xml:space="preserve">Calculation</t>
        </is>
      </c>
      <c r="B424">
        <f>IF(IF(AND('Editable assumptions'!B16&lt;=DATE(2027,5,1),DATE(2027,5,1)&lt;=DATE(2027,2,1))="",FALSE,AND('Editable assumptions'!B16&lt;=DATE(2027,5,1),DATE(2027,5,1)&lt;=DATE(2027,2,1))),'Monthly forecast and cash'!J29,"")</f>
      </c>
    </row>
    <row r="425">
      <c r="A425" t="inlineStr" s="21">
        <is>
          <t xml:space="preserve">Calculation</t>
        </is>
      </c>
      <c r="B425">
        <f>IF(IF(AND('Editable assumptions'!B16&lt;=DATE(2027,6,1),DATE(2027,6,1)&lt;=DATE(2027,2,1))="",FALSE,AND('Editable assumptions'!B16&lt;=DATE(2027,6,1),DATE(2027,6,1)&lt;=DATE(2027,2,1))),'Monthly forecast and cash'!K29,"")</f>
      </c>
    </row>
    <row r="426">
      <c r="A426" t="inlineStr" s="21">
        <is>
          <t xml:space="preserve">Calculation</t>
        </is>
      </c>
      <c r="B426">
        <f>IF(IF(AND('Editable assumptions'!B16&lt;=DATE(2027,7,1),DATE(2027,7,1)&lt;=DATE(2027,2,1))="",FALSE,AND('Editable assumptions'!B16&lt;=DATE(2027,7,1),DATE(2027,7,1)&lt;=DATE(2027,2,1))),'Monthly forecast and cash'!L29,"")</f>
      </c>
    </row>
    <row r="427">
      <c r="A427" t="inlineStr" s="21">
        <is>
          <t xml:space="preserve">Calculation</t>
        </is>
      </c>
      <c r="B427">
        <f>IF(IF(AND('Editable assumptions'!B16&lt;=DATE(2027,8,1),DATE(2027,8,1)&lt;=DATE(2027,2,1))="",FALSE,AND('Editable assumptions'!B16&lt;=DATE(2027,8,1),DATE(2027,8,1)&lt;=DATE(2027,2,1))),'Monthly forecast and cash'!M29,"")</f>
      </c>
    </row>
    <row r="428">
      <c r="A428" t="inlineStr" s="21">
        <is>
          <t xml:space="preserve">Calculation</t>
        </is>
      </c>
      <c r="B428">
        <f>IF(IF(AND('Editable assumptions'!B16&lt;=DATE(2027,9,1),DATE(2027,9,1)&lt;=DATE(2027,2,1))="",FALSE,AND('Editable assumptions'!B16&lt;=DATE(2027,9,1),DATE(2027,9,1)&lt;=DATE(2027,2,1))),'Monthly forecast and cash'!N29,"")</f>
      </c>
    </row>
    <row r="429">
      <c r="A429" t="inlineStr" s="21">
        <is>
          <t xml:space="preserve">Calculation</t>
        </is>
      </c>
      <c r="B429">
        <f>IF(IF(AND('Editable assumptions'!B16&lt;=DATE(2027,10,1),DATE(2027,10,1)&lt;=DATE(2027,2,1))="",FALSE,AND('Editable assumptions'!B16&lt;=DATE(2027,10,1),DATE(2027,10,1)&lt;=DATE(2027,2,1))),'Monthly forecast and cash'!O29,"")</f>
      </c>
    </row>
    <row r="430">
      <c r="A430" t="inlineStr" s="21">
        <is>
          <t xml:space="preserve">Calculation</t>
        </is>
      </c>
      <c r="B430">
        <f>IF(IF(AND('Editable assumptions'!B16&lt;=DATE(2027,11,1),DATE(2027,11,1)&lt;=DATE(2027,2,1))="",FALSE,AND('Editable assumptions'!B16&lt;=DATE(2027,11,1),DATE(2027,11,1)&lt;=DATE(2027,2,1))),'Monthly forecast and cash'!P29,"")</f>
      </c>
    </row>
    <row r="431">
      <c r="A431" t="inlineStr" s="21">
        <is>
          <t xml:space="preserve">Calculation</t>
        </is>
      </c>
      <c r="B431">
        <f>IF(IF(AND('Editable assumptions'!B16&lt;=DATE(2027,12,1),DATE(2027,12,1)&lt;=DATE(2027,2,1))="",FALSE,AND('Editable assumptions'!B16&lt;=DATE(2027,12,1),DATE(2027,12,1)&lt;=DATE(2027,2,1))),'Monthly forecast and cash'!Q29,"")</f>
      </c>
    </row>
    <row r="432">
      <c r="A432" t="inlineStr" s="21">
        <is>
          <t xml:space="preserve">Calculation</t>
        </is>
      </c>
      <c r="B432">
        <f>IF(IF(AND('Editable assumptions'!B16&lt;=DATE(2028,1,1),DATE(2028,1,1)&lt;=DATE(2027,2,1))="",FALSE,AND('Editable assumptions'!B16&lt;=DATE(2028,1,1),DATE(2028,1,1)&lt;=DATE(2027,2,1))),'Monthly forecast and cash'!R29,"")</f>
      </c>
    </row>
    <row r="433">
      <c r="A433" t="inlineStr" s="21">
        <is>
          <t xml:space="preserve">Calculation</t>
        </is>
      </c>
      <c r="B433">
        <f>IF(IF(AND('Editable assumptions'!B16&lt;=DATE(2028,2,1),DATE(2028,2,1)&lt;=DATE(2027,2,1))="",FALSE,AND('Editable assumptions'!B16&lt;=DATE(2028,2,1),DATE(2028,2,1)&lt;=DATE(2027,2,1))),'Monthly forecast and cash'!S29,"")</f>
      </c>
    </row>
    <row r="434">
      <c r="A434" t="inlineStr" s="21">
        <is>
          <t xml:space="preserve">Calculation</t>
        </is>
      </c>
      <c r="B434">
        <f>IF(IF(AND('Editable assumptions'!B16&lt;=DATE(2028,3,1),DATE(2028,3,1)&lt;=DATE(2027,2,1))="",FALSE,AND('Editable assumptions'!B16&lt;=DATE(2028,3,1),DATE(2028,3,1)&lt;=DATE(2027,2,1))),'Monthly forecast and cash'!T29,"")</f>
      </c>
    </row>
    <row r="435">
      <c r="A435" t="inlineStr" s="21">
        <is>
          <t xml:space="preserve">Calculation</t>
        </is>
      </c>
      <c r="B435">
        <f>IF(IF(AND('Editable assumptions'!B16&lt;=DATE(2028,4,1),DATE(2028,4,1)&lt;=DATE(2027,2,1))="",FALSE,AND('Editable assumptions'!B16&lt;=DATE(2028,4,1),DATE(2028,4,1)&lt;=DATE(2027,2,1))),'Monthly forecast and cash'!U29,"")</f>
      </c>
    </row>
    <row r="436">
      <c r="A436" t="inlineStr" s="21">
        <is>
          <t xml:space="preserve">Calculation</t>
        </is>
      </c>
      <c r="B436">
        <f>IF(IF(AND('Editable assumptions'!B16&lt;=DATE(2028,5,1),DATE(2028,5,1)&lt;=DATE(2027,2,1))="",FALSE,AND('Editable assumptions'!B16&lt;=DATE(2028,5,1),DATE(2028,5,1)&lt;=DATE(2027,2,1))),'Monthly forecast and cash'!V29,"")</f>
      </c>
    </row>
    <row r="437">
      <c r="A437" t="inlineStr" s="21">
        <is>
          <t xml:space="preserve">Calculation</t>
        </is>
      </c>
      <c r="B437">
        <f>IF(IF(AND('Editable assumptions'!B16&lt;=DATE(2028,6,1),DATE(2028,6,1)&lt;=DATE(2027,2,1))="",FALSE,AND('Editable assumptions'!B16&lt;=DATE(2028,6,1),DATE(2028,6,1)&lt;=DATE(2027,2,1))),'Monthly forecast and cash'!W29,"")</f>
      </c>
    </row>
    <row r="438">
      <c r="A438" t="inlineStr" s="21">
        <is>
          <t xml:space="preserve">Calculation</t>
        </is>
      </c>
      <c r="B438">
        <f>IF(IF(AND('Editable assumptions'!B16&lt;=DATE(2028,7,1),DATE(2028,7,1)&lt;=DATE(2027,2,1))="",FALSE,AND('Editable assumptions'!B16&lt;=DATE(2028,7,1),DATE(2028,7,1)&lt;=DATE(2027,2,1))),'Monthly forecast and cash'!X29,"")</f>
      </c>
    </row>
    <row r="439">
      <c r="A439" t="inlineStr" s="21">
        <is>
          <t xml:space="preserve">Calculation</t>
        </is>
      </c>
      <c r="B439">
        <f>IF(IF(AND('Editable assumptions'!B16&lt;=DATE(2028,8,1),DATE(2028,8,1)&lt;=DATE(2027,2,1))="",FALSE,AND('Editable assumptions'!B16&lt;=DATE(2028,8,1),DATE(2028,8,1)&lt;=DATE(2027,2,1))),'Monthly forecast and cash'!Y29,"")</f>
      </c>
    </row>
    <row r="440">
      <c r="A440" t="inlineStr" s="21">
        <is>
          <t xml:space="preserve">Calculation</t>
        </is>
      </c>
      <c r="B440">
        <f>IF(IF(AND('Editable assumptions'!B16&lt;=DATE(2028,9,1),DATE(2028,9,1)&lt;=DATE(2027,2,1))="",FALSE,AND('Editable assumptions'!B16&lt;=DATE(2028,9,1),DATE(2028,9,1)&lt;=DATE(2027,2,1))),'Monthly forecast and cash'!Z29,"")</f>
      </c>
    </row>
    <row r="441">
      <c r="A441" t="inlineStr" s="21">
        <is>
          <t xml:space="preserve">Calculation</t>
        </is>
      </c>
      <c r="B441">
        <f>IF(IF(AND('Editable assumptions'!B16&lt;=DATE(2026,1,1),DATE(2026,1,1)&lt;=DATE(2027,2,1))="",FALSE,AND('Editable assumptions'!B16&lt;=DATE(2026,1,1),DATE(2026,1,1)&lt;=DATE(2027,2,1))),'Model inputs'!D12,"")</f>
      </c>
    </row>
    <row r="442">
      <c r="A442" t="inlineStr" s="21">
        <is>
          <t xml:space="preserve">Calculation</t>
        </is>
      </c>
      <c r="B442">
        <f>IF(IF(AND('Editable assumptions'!B16&lt;=DATE(2026,2,1),DATE(2026,2,1)&lt;=DATE(2027,2,1))="",FALSE,AND('Editable assumptions'!B16&lt;=DATE(2026,2,1),DATE(2026,2,1)&lt;=DATE(2027,2,1))),'Model inputs'!E12,"")</f>
      </c>
    </row>
    <row r="443">
      <c r="A443" t="inlineStr" s="21">
        <is>
          <t xml:space="preserve">Calculation</t>
        </is>
      </c>
      <c r="B443">
        <f>IF(IF(AND('Editable assumptions'!B16&lt;=DATE(2026,3,1),DATE(2026,3,1)&lt;=DATE(2027,2,1))="",FALSE,AND('Editable assumptions'!B16&lt;=DATE(2026,3,1),DATE(2026,3,1)&lt;=DATE(2027,2,1))),'Model inputs'!F12,"")</f>
      </c>
    </row>
    <row r="444">
      <c r="A444" t="inlineStr" s="21">
        <is>
          <t xml:space="preserve">Calculation</t>
        </is>
      </c>
      <c r="B444">
        <f>IF(IF(AND('Editable assumptions'!B16&lt;=DATE(2026,4,1),DATE(2026,4,1)&lt;=DATE(2027,2,1))="",FALSE,AND('Editable assumptions'!B16&lt;=DATE(2026,4,1),DATE(2026,4,1)&lt;=DATE(2027,2,1))),'Model inputs'!G12,"")</f>
      </c>
    </row>
    <row r="445">
      <c r="A445" t="inlineStr" s="21">
        <is>
          <t xml:space="preserve">Calculation</t>
        </is>
      </c>
      <c r="B445">
        <f>IF(IF(AND('Editable assumptions'!B16&lt;=DATE(2026,5,1),DATE(2026,5,1)&lt;=DATE(2027,2,1))="",FALSE,AND('Editable assumptions'!B16&lt;=DATE(2026,5,1),DATE(2026,5,1)&lt;=DATE(2027,2,1))),'Model inputs'!H12,"")</f>
      </c>
    </row>
    <row r="446">
      <c r="A446" t="inlineStr" s="21">
        <is>
          <t xml:space="preserve">Calculation</t>
        </is>
      </c>
      <c r="B446">
        <f>IF(IF(AND('Editable assumptions'!B16&lt;=DATE(2026,6,1),DATE(2026,6,1)&lt;=DATE(2027,2,1))="",FALSE,AND('Editable assumptions'!B16&lt;=DATE(2026,6,1),DATE(2026,6,1)&lt;=DATE(2027,2,1))),'Model inputs'!I12,"")</f>
      </c>
    </row>
    <row r="447">
      <c r="A447" t="inlineStr" s="21">
        <is>
          <t xml:space="preserve">Calculation</t>
        </is>
      </c>
      <c r="B447">
        <f>IF(IF(AND('Editable assumptions'!B16&lt;=DATE(2026,7,1),DATE(2026,7,1)&lt;=DATE(2027,2,1))="",FALSE,AND('Editable assumptions'!B16&lt;=DATE(2026,7,1),DATE(2026,7,1)&lt;=DATE(2027,2,1))),'Model inputs'!J12,"")</f>
      </c>
    </row>
    <row r="448">
      <c r="A448" t="inlineStr" s="21">
        <is>
          <t xml:space="preserve">Calculation</t>
        </is>
      </c>
      <c r="B448">
        <f>IF(IF(AND('Editable assumptions'!B16&lt;=DATE(2026,8,1),DATE(2026,8,1)&lt;=DATE(2027,2,1))="",FALSE,AND('Editable assumptions'!B16&lt;=DATE(2026,8,1),DATE(2026,8,1)&lt;=DATE(2027,2,1))),'Model inputs'!K12,"")</f>
      </c>
    </row>
    <row r="449">
      <c r="A449" t="inlineStr" s="21">
        <is>
          <t xml:space="preserve">Calculation</t>
        </is>
      </c>
      <c r="B449">
        <f>IF(AND('Model inputs'!B416="",'Model inputs'!B417="",'Model inputs'!B418="",'Model inputs'!B419="",'Model inputs'!B420="",'Model inputs'!B421="",'Model inputs'!B422="",'Model inputs'!B423="",'Model inputs'!B424="",'Model inputs'!B425="",'Model inputs'!B426="",'Model inputs'!B427="",'Model inputs'!B428="",'Model inputs'!B429="",'Model inputs'!B430="",'Model inputs'!B431="",'Model inputs'!B432="",'Model inputs'!B433="",'Model inputs'!B434="",'Model inputs'!B435="",'Model inputs'!B436="",'Model inputs'!B437="",'Model inputs'!B438="",'Model inputs'!B439="",'Model inputs'!B440="",'Model inputs'!B441="",'Model inputs'!B442="",'Model inputs'!B443="",'Model inputs'!B444="",'Model inputs'!B445="",'Model inputs'!B446="",'Model inputs'!B447="",'Model inputs'!B448=""),"",MIN('Model inputs'!B416,'Model inputs'!B417,'Model inputs'!B418,'Model inputs'!B419,'Model inputs'!B420,'Model inputs'!B421,'Model inputs'!B422,'Model inputs'!B423,'Model inputs'!B424,'Model inputs'!B425,'Model inputs'!B426,'Model inputs'!B427,'Model inputs'!B428,'Model inputs'!B429,'Model inputs'!B430,'Model inputs'!B431,'Model inputs'!B432,'Model inputs'!B433,'Model inputs'!B434,'Model inputs'!B435,'Model inputs'!B436,'Model inputs'!B437,'Model inputs'!B438,'Model inputs'!B439,'Model inputs'!B440,'Model inputs'!B441,'Model inputs'!B442,'Model inputs'!B443,'Model inputs'!B444,'Model inputs'!B445,'Model inputs'!B446,'Model inputs'!B447,'Model inputs'!B448))</f>
      </c>
    </row>
    <row r="450">
      <c r="A450" t="inlineStr" s="21">
        <is>
          <t xml:space="preserve">Calculation</t>
        </is>
      </c>
      <c r="B450">
        <f>IF(IF(AND('Editable assumptions'!B16&lt;=DATE(2026,9,1),DATE(2026,9,1)&lt;=DATE(2027,3,1))="",FALSE,AND('Editable assumptions'!B16&lt;=DATE(2026,9,1),DATE(2026,9,1)&lt;=DATE(2027,3,1))),'Monthly forecast and cash'!B29,"")</f>
      </c>
    </row>
    <row r="451">
      <c r="A451" t="inlineStr" s="21">
        <is>
          <t xml:space="preserve">Calculation</t>
        </is>
      </c>
      <c r="B451">
        <f>IF(IF(AND('Editable assumptions'!B16&lt;=DATE(2026,10,1),DATE(2026,10,1)&lt;=DATE(2027,3,1))="",FALSE,AND('Editable assumptions'!B16&lt;=DATE(2026,10,1),DATE(2026,10,1)&lt;=DATE(2027,3,1))),'Monthly forecast and cash'!C29,"")</f>
      </c>
    </row>
    <row r="452">
      <c r="A452" t="inlineStr" s="21">
        <is>
          <t xml:space="preserve">Calculation</t>
        </is>
      </c>
      <c r="B452">
        <f>IF(IF(AND('Editable assumptions'!B16&lt;=DATE(2026,11,1),DATE(2026,11,1)&lt;=DATE(2027,3,1))="",FALSE,AND('Editable assumptions'!B16&lt;=DATE(2026,11,1),DATE(2026,11,1)&lt;=DATE(2027,3,1))),'Monthly forecast and cash'!D29,"")</f>
      </c>
    </row>
    <row r="453">
      <c r="A453" t="inlineStr" s="21">
        <is>
          <t xml:space="preserve">Calculation</t>
        </is>
      </c>
      <c r="B453">
        <f>IF(IF(AND('Editable assumptions'!B16&lt;=DATE(2026,12,1),DATE(2026,12,1)&lt;=DATE(2027,3,1))="",FALSE,AND('Editable assumptions'!B16&lt;=DATE(2026,12,1),DATE(2026,12,1)&lt;=DATE(2027,3,1))),'Monthly forecast and cash'!E29,"")</f>
      </c>
    </row>
    <row r="454">
      <c r="A454" t="inlineStr" s="21">
        <is>
          <t xml:space="preserve">Calculation</t>
        </is>
      </c>
      <c r="B454">
        <f>IF(IF(AND('Editable assumptions'!B16&lt;=DATE(2027,1,1),DATE(2027,1,1)&lt;=DATE(2027,3,1))="",FALSE,AND('Editable assumptions'!B16&lt;=DATE(2027,1,1),DATE(2027,1,1)&lt;=DATE(2027,3,1))),'Monthly forecast and cash'!F29,"")</f>
      </c>
    </row>
    <row r="455">
      <c r="A455" t="inlineStr" s="21">
        <is>
          <t xml:space="preserve">Calculation</t>
        </is>
      </c>
      <c r="B455">
        <f>IF(IF(AND('Editable assumptions'!B16&lt;=DATE(2027,2,1),DATE(2027,2,1)&lt;=DATE(2027,3,1))="",FALSE,AND('Editable assumptions'!B16&lt;=DATE(2027,2,1),DATE(2027,2,1)&lt;=DATE(2027,3,1))),'Monthly forecast and cash'!G29,"")</f>
      </c>
    </row>
    <row r="456">
      <c r="A456" t="inlineStr" s="21">
        <is>
          <t xml:space="preserve">Calculation</t>
        </is>
      </c>
      <c r="B456">
        <f>IF(IF(AND('Editable assumptions'!B16&lt;=DATE(2027,3,1),DATE(2027,3,1)&lt;=DATE(2027,3,1))="",FALSE,AND('Editable assumptions'!B16&lt;=DATE(2027,3,1),DATE(2027,3,1)&lt;=DATE(2027,3,1))),'Monthly forecast and cash'!H29,"")</f>
      </c>
    </row>
    <row r="457">
      <c r="A457" t="inlineStr" s="21">
        <is>
          <t xml:space="preserve">Calculation</t>
        </is>
      </c>
      <c r="B457">
        <f>IF(IF(AND('Editable assumptions'!B16&lt;=DATE(2027,4,1),DATE(2027,4,1)&lt;=DATE(2027,3,1))="",FALSE,AND('Editable assumptions'!B16&lt;=DATE(2027,4,1),DATE(2027,4,1)&lt;=DATE(2027,3,1))),'Monthly forecast and cash'!I29,"")</f>
      </c>
    </row>
    <row r="458">
      <c r="A458" t="inlineStr" s="21">
        <is>
          <t xml:space="preserve">Calculation</t>
        </is>
      </c>
      <c r="B458">
        <f>IF(IF(AND('Editable assumptions'!B16&lt;=DATE(2027,5,1),DATE(2027,5,1)&lt;=DATE(2027,3,1))="",FALSE,AND('Editable assumptions'!B16&lt;=DATE(2027,5,1),DATE(2027,5,1)&lt;=DATE(2027,3,1))),'Monthly forecast and cash'!J29,"")</f>
      </c>
    </row>
    <row r="459">
      <c r="A459" t="inlineStr" s="21">
        <is>
          <t xml:space="preserve">Calculation</t>
        </is>
      </c>
      <c r="B459">
        <f>IF(IF(AND('Editable assumptions'!B16&lt;=DATE(2027,6,1),DATE(2027,6,1)&lt;=DATE(2027,3,1))="",FALSE,AND('Editable assumptions'!B16&lt;=DATE(2027,6,1),DATE(2027,6,1)&lt;=DATE(2027,3,1))),'Monthly forecast and cash'!K29,"")</f>
      </c>
    </row>
    <row r="460">
      <c r="A460" t="inlineStr" s="21">
        <is>
          <t xml:space="preserve">Calculation</t>
        </is>
      </c>
      <c r="B460">
        <f>IF(IF(AND('Editable assumptions'!B16&lt;=DATE(2027,7,1),DATE(2027,7,1)&lt;=DATE(2027,3,1))="",FALSE,AND('Editable assumptions'!B16&lt;=DATE(2027,7,1),DATE(2027,7,1)&lt;=DATE(2027,3,1))),'Monthly forecast and cash'!L29,"")</f>
      </c>
    </row>
    <row r="461">
      <c r="A461" t="inlineStr" s="21">
        <is>
          <t xml:space="preserve">Calculation</t>
        </is>
      </c>
      <c r="B461">
        <f>IF(IF(AND('Editable assumptions'!B16&lt;=DATE(2027,8,1),DATE(2027,8,1)&lt;=DATE(2027,3,1))="",FALSE,AND('Editable assumptions'!B16&lt;=DATE(2027,8,1),DATE(2027,8,1)&lt;=DATE(2027,3,1))),'Monthly forecast and cash'!M29,"")</f>
      </c>
    </row>
    <row r="462">
      <c r="A462" t="inlineStr" s="21">
        <is>
          <t xml:space="preserve">Calculation</t>
        </is>
      </c>
      <c r="B462">
        <f>IF(IF(AND('Editable assumptions'!B16&lt;=DATE(2027,9,1),DATE(2027,9,1)&lt;=DATE(2027,3,1))="",FALSE,AND('Editable assumptions'!B16&lt;=DATE(2027,9,1),DATE(2027,9,1)&lt;=DATE(2027,3,1))),'Monthly forecast and cash'!N29,"")</f>
      </c>
    </row>
    <row r="463">
      <c r="A463" t="inlineStr" s="21">
        <is>
          <t xml:space="preserve">Calculation</t>
        </is>
      </c>
      <c r="B463">
        <f>IF(IF(AND('Editable assumptions'!B16&lt;=DATE(2027,10,1),DATE(2027,10,1)&lt;=DATE(2027,3,1))="",FALSE,AND('Editable assumptions'!B16&lt;=DATE(2027,10,1),DATE(2027,10,1)&lt;=DATE(2027,3,1))),'Monthly forecast and cash'!O29,"")</f>
      </c>
    </row>
    <row r="464">
      <c r="A464" t="inlineStr" s="21">
        <is>
          <t xml:space="preserve">Calculation</t>
        </is>
      </c>
      <c r="B464">
        <f>IF(IF(AND('Editable assumptions'!B16&lt;=DATE(2027,11,1),DATE(2027,11,1)&lt;=DATE(2027,3,1))="",FALSE,AND('Editable assumptions'!B16&lt;=DATE(2027,11,1),DATE(2027,11,1)&lt;=DATE(2027,3,1))),'Monthly forecast and cash'!P29,"")</f>
      </c>
    </row>
    <row r="465">
      <c r="A465" t="inlineStr" s="21">
        <is>
          <t xml:space="preserve">Calculation</t>
        </is>
      </c>
      <c r="B465">
        <f>IF(IF(AND('Editable assumptions'!B16&lt;=DATE(2027,12,1),DATE(2027,12,1)&lt;=DATE(2027,3,1))="",FALSE,AND('Editable assumptions'!B16&lt;=DATE(2027,12,1),DATE(2027,12,1)&lt;=DATE(2027,3,1))),'Monthly forecast and cash'!Q29,"")</f>
      </c>
    </row>
    <row r="466">
      <c r="A466" t="inlineStr" s="21">
        <is>
          <t xml:space="preserve">Calculation</t>
        </is>
      </c>
      <c r="B466">
        <f>IF(IF(AND('Editable assumptions'!B16&lt;=DATE(2028,1,1),DATE(2028,1,1)&lt;=DATE(2027,3,1))="",FALSE,AND('Editable assumptions'!B16&lt;=DATE(2028,1,1),DATE(2028,1,1)&lt;=DATE(2027,3,1))),'Monthly forecast and cash'!R29,"")</f>
      </c>
    </row>
    <row r="467">
      <c r="A467" t="inlineStr" s="21">
        <is>
          <t xml:space="preserve">Calculation</t>
        </is>
      </c>
      <c r="B467">
        <f>IF(IF(AND('Editable assumptions'!B16&lt;=DATE(2028,2,1),DATE(2028,2,1)&lt;=DATE(2027,3,1))="",FALSE,AND('Editable assumptions'!B16&lt;=DATE(2028,2,1),DATE(2028,2,1)&lt;=DATE(2027,3,1))),'Monthly forecast and cash'!S29,"")</f>
      </c>
    </row>
    <row r="468">
      <c r="A468" t="inlineStr" s="21">
        <is>
          <t xml:space="preserve">Calculation</t>
        </is>
      </c>
      <c r="B468">
        <f>IF(IF(AND('Editable assumptions'!B16&lt;=DATE(2028,3,1),DATE(2028,3,1)&lt;=DATE(2027,3,1))="",FALSE,AND('Editable assumptions'!B16&lt;=DATE(2028,3,1),DATE(2028,3,1)&lt;=DATE(2027,3,1))),'Monthly forecast and cash'!T29,"")</f>
      </c>
    </row>
    <row r="469">
      <c r="A469" t="inlineStr" s="21">
        <is>
          <t xml:space="preserve">Calculation</t>
        </is>
      </c>
      <c r="B469">
        <f>IF(IF(AND('Editable assumptions'!B16&lt;=DATE(2028,4,1),DATE(2028,4,1)&lt;=DATE(2027,3,1))="",FALSE,AND('Editable assumptions'!B16&lt;=DATE(2028,4,1),DATE(2028,4,1)&lt;=DATE(2027,3,1))),'Monthly forecast and cash'!U29,"")</f>
      </c>
    </row>
    <row r="470">
      <c r="A470" t="inlineStr" s="21">
        <is>
          <t xml:space="preserve">Calculation</t>
        </is>
      </c>
      <c r="B470">
        <f>IF(IF(AND('Editable assumptions'!B16&lt;=DATE(2028,5,1),DATE(2028,5,1)&lt;=DATE(2027,3,1))="",FALSE,AND('Editable assumptions'!B16&lt;=DATE(2028,5,1),DATE(2028,5,1)&lt;=DATE(2027,3,1))),'Monthly forecast and cash'!V29,"")</f>
      </c>
    </row>
    <row r="471">
      <c r="A471" t="inlineStr" s="21">
        <is>
          <t xml:space="preserve">Calculation</t>
        </is>
      </c>
      <c r="B471">
        <f>IF(IF(AND('Editable assumptions'!B16&lt;=DATE(2028,6,1),DATE(2028,6,1)&lt;=DATE(2027,3,1))="",FALSE,AND('Editable assumptions'!B16&lt;=DATE(2028,6,1),DATE(2028,6,1)&lt;=DATE(2027,3,1))),'Monthly forecast and cash'!W29,"")</f>
      </c>
    </row>
    <row r="472">
      <c r="A472" t="inlineStr" s="21">
        <is>
          <t xml:space="preserve">Calculation</t>
        </is>
      </c>
      <c r="B472">
        <f>IF(IF(AND('Editable assumptions'!B16&lt;=DATE(2028,7,1),DATE(2028,7,1)&lt;=DATE(2027,3,1))="",FALSE,AND('Editable assumptions'!B16&lt;=DATE(2028,7,1),DATE(2028,7,1)&lt;=DATE(2027,3,1))),'Monthly forecast and cash'!X29,"")</f>
      </c>
    </row>
    <row r="473">
      <c r="A473" t="inlineStr" s="21">
        <is>
          <t xml:space="preserve">Calculation</t>
        </is>
      </c>
      <c r="B473">
        <f>IF(IF(AND('Editable assumptions'!B16&lt;=DATE(2028,8,1),DATE(2028,8,1)&lt;=DATE(2027,3,1))="",FALSE,AND('Editable assumptions'!B16&lt;=DATE(2028,8,1),DATE(2028,8,1)&lt;=DATE(2027,3,1))),'Monthly forecast and cash'!Y29,"")</f>
      </c>
    </row>
    <row r="474">
      <c r="A474" t="inlineStr" s="21">
        <is>
          <t xml:space="preserve">Calculation</t>
        </is>
      </c>
      <c r="B474">
        <f>IF(IF(AND('Editable assumptions'!B16&lt;=DATE(2028,9,1),DATE(2028,9,1)&lt;=DATE(2027,3,1))="",FALSE,AND('Editable assumptions'!B16&lt;=DATE(2028,9,1),DATE(2028,9,1)&lt;=DATE(2027,3,1))),'Monthly forecast and cash'!Z29,"")</f>
      </c>
    </row>
    <row r="475">
      <c r="A475" t="inlineStr" s="21">
        <is>
          <t xml:space="preserve">Calculation</t>
        </is>
      </c>
      <c r="B475">
        <f>IF(IF(AND('Editable assumptions'!B16&lt;=DATE(2026,1,1),DATE(2026,1,1)&lt;=DATE(2027,3,1))="",FALSE,AND('Editable assumptions'!B16&lt;=DATE(2026,1,1),DATE(2026,1,1)&lt;=DATE(2027,3,1))),'Model inputs'!D12,"")</f>
      </c>
    </row>
    <row r="476">
      <c r="A476" t="inlineStr" s="21">
        <is>
          <t xml:space="preserve">Calculation</t>
        </is>
      </c>
      <c r="B476">
        <f>IF(IF(AND('Editable assumptions'!B16&lt;=DATE(2026,2,1),DATE(2026,2,1)&lt;=DATE(2027,3,1))="",FALSE,AND('Editable assumptions'!B16&lt;=DATE(2026,2,1),DATE(2026,2,1)&lt;=DATE(2027,3,1))),'Model inputs'!E12,"")</f>
      </c>
    </row>
    <row r="477">
      <c r="A477" t="inlineStr" s="21">
        <is>
          <t xml:space="preserve">Calculation</t>
        </is>
      </c>
      <c r="B477">
        <f>IF(IF(AND('Editable assumptions'!B16&lt;=DATE(2026,3,1),DATE(2026,3,1)&lt;=DATE(2027,3,1))="",FALSE,AND('Editable assumptions'!B16&lt;=DATE(2026,3,1),DATE(2026,3,1)&lt;=DATE(2027,3,1))),'Model inputs'!F12,"")</f>
      </c>
    </row>
    <row r="478">
      <c r="A478" t="inlineStr" s="21">
        <is>
          <t xml:space="preserve">Calculation</t>
        </is>
      </c>
      <c r="B478">
        <f>IF(IF(AND('Editable assumptions'!B16&lt;=DATE(2026,4,1),DATE(2026,4,1)&lt;=DATE(2027,3,1))="",FALSE,AND('Editable assumptions'!B16&lt;=DATE(2026,4,1),DATE(2026,4,1)&lt;=DATE(2027,3,1))),'Model inputs'!G12,"")</f>
      </c>
    </row>
    <row r="479">
      <c r="A479" t="inlineStr" s="21">
        <is>
          <t xml:space="preserve">Calculation</t>
        </is>
      </c>
      <c r="B479">
        <f>IF(IF(AND('Editable assumptions'!B16&lt;=DATE(2026,5,1),DATE(2026,5,1)&lt;=DATE(2027,3,1))="",FALSE,AND('Editable assumptions'!B16&lt;=DATE(2026,5,1),DATE(2026,5,1)&lt;=DATE(2027,3,1))),'Model inputs'!H12,"")</f>
      </c>
    </row>
    <row r="480">
      <c r="A480" t="inlineStr" s="21">
        <is>
          <t xml:space="preserve">Calculation</t>
        </is>
      </c>
      <c r="B480">
        <f>IF(IF(AND('Editable assumptions'!B16&lt;=DATE(2026,6,1),DATE(2026,6,1)&lt;=DATE(2027,3,1))="",FALSE,AND('Editable assumptions'!B16&lt;=DATE(2026,6,1),DATE(2026,6,1)&lt;=DATE(2027,3,1))),'Model inputs'!I12,"")</f>
      </c>
    </row>
    <row r="481">
      <c r="A481" t="inlineStr" s="21">
        <is>
          <t xml:space="preserve">Calculation</t>
        </is>
      </c>
      <c r="B481">
        <f>IF(IF(AND('Editable assumptions'!B16&lt;=DATE(2026,7,1),DATE(2026,7,1)&lt;=DATE(2027,3,1))="",FALSE,AND('Editable assumptions'!B16&lt;=DATE(2026,7,1),DATE(2026,7,1)&lt;=DATE(2027,3,1))),'Model inputs'!J12,"")</f>
      </c>
    </row>
    <row r="482">
      <c r="A482" t="inlineStr" s="21">
        <is>
          <t xml:space="preserve">Calculation</t>
        </is>
      </c>
      <c r="B482">
        <f>IF(IF(AND('Editable assumptions'!B16&lt;=DATE(2026,8,1),DATE(2026,8,1)&lt;=DATE(2027,3,1))="",FALSE,AND('Editable assumptions'!B16&lt;=DATE(2026,8,1),DATE(2026,8,1)&lt;=DATE(2027,3,1))),'Model inputs'!K12,"")</f>
      </c>
    </row>
    <row r="483">
      <c r="A483" t="inlineStr" s="21">
        <is>
          <t xml:space="preserve">Calculation</t>
        </is>
      </c>
      <c r="B483">
        <f>IF(AND('Model inputs'!B450="",'Model inputs'!B451="",'Model inputs'!B452="",'Model inputs'!B453="",'Model inputs'!B454="",'Model inputs'!B455="",'Model inputs'!B456="",'Model inputs'!B457="",'Model inputs'!B458="",'Model inputs'!B459="",'Model inputs'!B460="",'Model inputs'!B461="",'Model inputs'!B462="",'Model inputs'!B463="",'Model inputs'!B464="",'Model inputs'!B465="",'Model inputs'!B466="",'Model inputs'!B467="",'Model inputs'!B468="",'Model inputs'!B469="",'Model inputs'!B470="",'Model inputs'!B471="",'Model inputs'!B472="",'Model inputs'!B473="",'Model inputs'!B474="",'Model inputs'!B475="",'Model inputs'!B476="",'Model inputs'!B477="",'Model inputs'!B478="",'Model inputs'!B479="",'Model inputs'!B480="",'Model inputs'!B481="",'Model inputs'!B482=""),"",MIN('Model inputs'!B450,'Model inputs'!B451,'Model inputs'!B452,'Model inputs'!B453,'Model inputs'!B454,'Model inputs'!B455,'Model inputs'!B456,'Model inputs'!B457,'Model inputs'!B458,'Model inputs'!B459,'Model inputs'!B460,'Model inputs'!B461,'Model inputs'!B462,'Model inputs'!B463,'Model inputs'!B464,'Model inputs'!B465,'Model inputs'!B466,'Model inputs'!B467,'Model inputs'!B468,'Model inputs'!B469,'Model inputs'!B470,'Model inputs'!B471,'Model inputs'!B472,'Model inputs'!B473,'Model inputs'!B474,'Model inputs'!B475,'Model inputs'!B476,'Model inputs'!B477,'Model inputs'!B478,'Model inputs'!B479,'Model inputs'!B480,'Model inputs'!B481,'Model inputs'!B482))</f>
      </c>
    </row>
    <row r="484">
      <c r="A484" t="inlineStr" s="21">
        <is>
          <t xml:space="preserve">Calculation</t>
        </is>
      </c>
      <c r="B484">
        <f>IF(IF(AND('Editable assumptions'!B16&lt;=DATE(2026,9,1),DATE(2026,9,1)&lt;=DATE(2027,4,1))="",FALSE,AND('Editable assumptions'!B16&lt;=DATE(2026,9,1),DATE(2026,9,1)&lt;=DATE(2027,4,1))),'Monthly forecast and cash'!B29,"")</f>
      </c>
    </row>
    <row r="485">
      <c r="A485" t="inlineStr" s="21">
        <is>
          <t xml:space="preserve">Calculation</t>
        </is>
      </c>
      <c r="B485">
        <f>IF(IF(AND('Editable assumptions'!B16&lt;=DATE(2026,10,1),DATE(2026,10,1)&lt;=DATE(2027,4,1))="",FALSE,AND('Editable assumptions'!B16&lt;=DATE(2026,10,1),DATE(2026,10,1)&lt;=DATE(2027,4,1))),'Monthly forecast and cash'!C29,"")</f>
      </c>
    </row>
    <row r="486">
      <c r="A486" t="inlineStr" s="21">
        <is>
          <t xml:space="preserve">Calculation</t>
        </is>
      </c>
      <c r="B486">
        <f>IF(IF(AND('Editable assumptions'!B16&lt;=DATE(2026,11,1),DATE(2026,11,1)&lt;=DATE(2027,4,1))="",FALSE,AND('Editable assumptions'!B16&lt;=DATE(2026,11,1),DATE(2026,11,1)&lt;=DATE(2027,4,1))),'Monthly forecast and cash'!D29,"")</f>
      </c>
    </row>
    <row r="487">
      <c r="A487" t="inlineStr" s="21">
        <is>
          <t xml:space="preserve">Calculation</t>
        </is>
      </c>
      <c r="B487">
        <f>IF(IF(AND('Editable assumptions'!B16&lt;=DATE(2026,12,1),DATE(2026,12,1)&lt;=DATE(2027,4,1))="",FALSE,AND('Editable assumptions'!B16&lt;=DATE(2026,12,1),DATE(2026,12,1)&lt;=DATE(2027,4,1))),'Monthly forecast and cash'!E29,"")</f>
      </c>
    </row>
    <row r="488">
      <c r="A488" t="inlineStr" s="21">
        <is>
          <t xml:space="preserve">Calculation</t>
        </is>
      </c>
      <c r="B488">
        <f>IF(IF(AND('Editable assumptions'!B16&lt;=DATE(2027,1,1),DATE(2027,1,1)&lt;=DATE(2027,4,1))="",FALSE,AND('Editable assumptions'!B16&lt;=DATE(2027,1,1),DATE(2027,1,1)&lt;=DATE(2027,4,1))),'Monthly forecast and cash'!F29,"")</f>
      </c>
    </row>
    <row r="489">
      <c r="A489" t="inlineStr" s="21">
        <is>
          <t xml:space="preserve">Calculation</t>
        </is>
      </c>
      <c r="B489">
        <f>IF(IF(AND('Editable assumptions'!B16&lt;=DATE(2027,2,1),DATE(2027,2,1)&lt;=DATE(2027,4,1))="",FALSE,AND('Editable assumptions'!B16&lt;=DATE(2027,2,1),DATE(2027,2,1)&lt;=DATE(2027,4,1))),'Monthly forecast and cash'!G29,"")</f>
      </c>
    </row>
    <row r="490">
      <c r="A490" t="inlineStr" s="21">
        <is>
          <t xml:space="preserve">Calculation</t>
        </is>
      </c>
      <c r="B490">
        <f>IF(IF(AND('Editable assumptions'!B16&lt;=DATE(2027,3,1),DATE(2027,3,1)&lt;=DATE(2027,4,1))="",FALSE,AND('Editable assumptions'!B16&lt;=DATE(2027,3,1),DATE(2027,3,1)&lt;=DATE(2027,4,1))),'Monthly forecast and cash'!H29,"")</f>
      </c>
    </row>
    <row r="491">
      <c r="A491" t="inlineStr" s="21">
        <is>
          <t xml:space="preserve">Calculation</t>
        </is>
      </c>
      <c r="B491">
        <f>IF(IF(AND('Editable assumptions'!B16&lt;=DATE(2027,4,1),DATE(2027,4,1)&lt;=DATE(2027,4,1))="",FALSE,AND('Editable assumptions'!B16&lt;=DATE(2027,4,1),DATE(2027,4,1)&lt;=DATE(2027,4,1))),'Monthly forecast and cash'!I29,"")</f>
      </c>
    </row>
    <row r="492">
      <c r="A492" t="inlineStr" s="21">
        <is>
          <t xml:space="preserve">Calculation</t>
        </is>
      </c>
      <c r="B492">
        <f>IF(IF(AND('Editable assumptions'!B16&lt;=DATE(2027,5,1),DATE(2027,5,1)&lt;=DATE(2027,4,1))="",FALSE,AND('Editable assumptions'!B16&lt;=DATE(2027,5,1),DATE(2027,5,1)&lt;=DATE(2027,4,1))),'Monthly forecast and cash'!J29,"")</f>
      </c>
    </row>
    <row r="493">
      <c r="A493" t="inlineStr" s="21">
        <is>
          <t xml:space="preserve">Calculation</t>
        </is>
      </c>
      <c r="B493">
        <f>IF(IF(AND('Editable assumptions'!B16&lt;=DATE(2027,6,1),DATE(2027,6,1)&lt;=DATE(2027,4,1))="",FALSE,AND('Editable assumptions'!B16&lt;=DATE(2027,6,1),DATE(2027,6,1)&lt;=DATE(2027,4,1))),'Monthly forecast and cash'!K29,"")</f>
      </c>
    </row>
    <row r="494">
      <c r="A494" t="inlineStr" s="21">
        <is>
          <t xml:space="preserve">Calculation</t>
        </is>
      </c>
      <c r="B494">
        <f>IF(IF(AND('Editable assumptions'!B16&lt;=DATE(2027,7,1),DATE(2027,7,1)&lt;=DATE(2027,4,1))="",FALSE,AND('Editable assumptions'!B16&lt;=DATE(2027,7,1),DATE(2027,7,1)&lt;=DATE(2027,4,1))),'Monthly forecast and cash'!L29,"")</f>
      </c>
    </row>
    <row r="495">
      <c r="A495" t="inlineStr" s="21">
        <is>
          <t xml:space="preserve">Calculation</t>
        </is>
      </c>
      <c r="B495">
        <f>IF(IF(AND('Editable assumptions'!B16&lt;=DATE(2027,8,1),DATE(2027,8,1)&lt;=DATE(2027,4,1))="",FALSE,AND('Editable assumptions'!B16&lt;=DATE(2027,8,1),DATE(2027,8,1)&lt;=DATE(2027,4,1))),'Monthly forecast and cash'!M29,"")</f>
      </c>
    </row>
    <row r="496">
      <c r="A496" t="inlineStr" s="21">
        <is>
          <t xml:space="preserve">Calculation</t>
        </is>
      </c>
      <c r="B496">
        <f>IF(IF(AND('Editable assumptions'!B16&lt;=DATE(2027,9,1),DATE(2027,9,1)&lt;=DATE(2027,4,1))="",FALSE,AND('Editable assumptions'!B16&lt;=DATE(2027,9,1),DATE(2027,9,1)&lt;=DATE(2027,4,1))),'Monthly forecast and cash'!N29,"")</f>
      </c>
    </row>
    <row r="497">
      <c r="A497" t="inlineStr" s="21">
        <is>
          <t xml:space="preserve">Calculation</t>
        </is>
      </c>
      <c r="B497">
        <f>IF(IF(AND('Editable assumptions'!B16&lt;=DATE(2027,10,1),DATE(2027,10,1)&lt;=DATE(2027,4,1))="",FALSE,AND('Editable assumptions'!B16&lt;=DATE(2027,10,1),DATE(2027,10,1)&lt;=DATE(2027,4,1))),'Monthly forecast and cash'!O29,"")</f>
      </c>
    </row>
    <row r="498">
      <c r="A498" t="inlineStr" s="21">
        <is>
          <t xml:space="preserve">Calculation</t>
        </is>
      </c>
      <c r="B498">
        <f>IF(IF(AND('Editable assumptions'!B16&lt;=DATE(2027,11,1),DATE(2027,11,1)&lt;=DATE(2027,4,1))="",FALSE,AND('Editable assumptions'!B16&lt;=DATE(2027,11,1),DATE(2027,11,1)&lt;=DATE(2027,4,1))),'Monthly forecast and cash'!P29,"")</f>
      </c>
    </row>
    <row r="499">
      <c r="A499" t="inlineStr" s="21">
        <is>
          <t xml:space="preserve">Calculation</t>
        </is>
      </c>
      <c r="B499">
        <f>IF(IF(AND('Editable assumptions'!B16&lt;=DATE(2027,12,1),DATE(2027,12,1)&lt;=DATE(2027,4,1))="",FALSE,AND('Editable assumptions'!B16&lt;=DATE(2027,12,1),DATE(2027,12,1)&lt;=DATE(2027,4,1))),'Monthly forecast and cash'!Q29,"")</f>
      </c>
    </row>
    <row r="500">
      <c r="A500" t="inlineStr" s="21">
        <is>
          <t xml:space="preserve">Calculation</t>
        </is>
      </c>
      <c r="B500">
        <f>IF(IF(AND('Editable assumptions'!B16&lt;=DATE(2028,1,1),DATE(2028,1,1)&lt;=DATE(2027,4,1))="",FALSE,AND('Editable assumptions'!B16&lt;=DATE(2028,1,1),DATE(2028,1,1)&lt;=DATE(2027,4,1))),'Monthly forecast and cash'!R29,"")</f>
      </c>
    </row>
    <row r="501">
      <c r="A501" t="inlineStr" s="21">
        <is>
          <t xml:space="preserve">Calculation</t>
        </is>
      </c>
      <c r="B501">
        <f>IF(IF(AND('Editable assumptions'!B16&lt;=DATE(2028,2,1),DATE(2028,2,1)&lt;=DATE(2027,4,1))="",FALSE,AND('Editable assumptions'!B16&lt;=DATE(2028,2,1),DATE(2028,2,1)&lt;=DATE(2027,4,1))),'Monthly forecast and cash'!S29,"")</f>
      </c>
    </row>
    <row r="502">
      <c r="A502" t="inlineStr" s="21">
        <is>
          <t xml:space="preserve">Calculation</t>
        </is>
      </c>
      <c r="B502">
        <f>IF(IF(AND('Editable assumptions'!B16&lt;=DATE(2028,3,1),DATE(2028,3,1)&lt;=DATE(2027,4,1))="",FALSE,AND('Editable assumptions'!B16&lt;=DATE(2028,3,1),DATE(2028,3,1)&lt;=DATE(2027,4,1))),'Monthly forecast and cash'!T29,"")</f>
      </c>
    </row>
    <row r="503">
      <c r="A503" t="inlineStr" s="21">
        <is>
          <t xml:space="preserve">Calculation</t>
        </is>
      </c>
      <c r="B503">
        <f>IF(IF(AND('Editable assumptions'!B16&lt;=DATE(2028,4,1),DATE(2028,4,1)&lt;=DATE(2027,4,1))="",FALSE,AND('Editable assumptions'!B16&lt;=DATE(2028,4,1),DATE(2028,4,1)&lt;=DATE(2027,4,1))),'Monthly forecast and cash'!U29,"")</f>
      </c>
    </row>
    <row r="504">
      <c r="A504" t="inlineStr" s="21">
        <is>
          <t xml:space="preserve">Calculation</t>
        </is>
      </c>
      <c r="B504">
        <f>IF(IF(AND('Editable assumptions'!B16&lt;=DATE(2028,5,1),DATE(2028,5,1)&lt;=DATE(2027,4,1))="",FALSE,AND('Editable assumptions'!B16&lt;=DATE(2028,5,1),DATE(2028,5,1)&lt;=DATE(2027,4,1))),'Monthly forecast and cash'!V29,"")</f>
      </c>
    </row>
    <row r="505">
      <c r="A505" t="inlineStr" s="21">
        <is>
          <t xml:space="preserve">Calculation</t>
        </is>
      </c>
      <c r="B505">
        <f>IF(IF(AND('Editable assumptions'!B16&lt;=DATE(2028,6,1),DATE(2028,6,1)&lt;=DATE(2027,4,1))="",FALSE,AND('Editable assumptions'!B16&lt;=DATE(2028,6,1),DATE(2028,6,1)&lt;=DATE(2027,4,1))),'Monthly forecast and cash'!W29,"")</f>
      </c>
    </row>
    <row r="506">
      <c r="A506" t="inlineStr" s="21">
        <is>
          <t xml:space="preserve">Calculation</t>
        </is>
      </c>
      <c r="B506">
        <f>IF(IF(AND('Editable assumptions'!B16&lt;=DATE(2028,7,1),DATE(2028,7,1)&lt;=DATE(2027,4,1))="",FALSE,AND('Editable assumptions'!B16&lt;=DATE(2028,7,1),DATE(2028,7,1)&lt;=DATE(2027,4,1))),'Monthly forecast and cash'!X29,"")</f>
      </c>
    </row>
    <row r="507">
      <c r="A507" t="inlineStr" s="21">
        <is>
          <t xml:space="preserve">Calculation</t>
        </is>
      </c>
      <c r="B507">
        <f>IF(IF(AND('Editable assumptions'!B16&lt;=DATE(2028,8,1),DATE(2028,8,1)&lt;=DATE(2027,4,1))="",FALSE,AND('Editable assumptions'!B16&lt;=DATE(2028,8,1),DATE(2028,8,1)&lt;=DATE(2027,4,1))),'Monthly forecast and cash'!Y29,"")</f>
      </c>
    </row>
    <row r="508">
      <c r="A508" t="inlineStr" s="21">
        <is>
          <t xml:space="preserve">Calculation</t>
        </is>
      </c>
      <c r="B508">
        <f>IF(IF(AND('Editable assumptions'!B16&lt;=DATE(2028,9,1),DATE(2028,9,1)&lt;=DATE(2027,4,1))="",FALSE,AND('Editable assumptions'!B16&lt;=DATE(2028,9,1),DATE(2028,9,1)&lt;=DATE(2027,4,1))),'Monthly forecast and cash'!Z29,"")</f>
      </c>
    </row>
    <row r="509">
      <c r="A509" t="inlineStr" s="21">
        <is>
          <t xml:space="preserve">Calculation</t>
        </is>
      </c>
      <c r="B509">
        <f>IF(IF(AND('Editable assumptions'!B16&lt;=DATE(2026,1,1),DATE(2026,1,1)&lt;=DATE(2027,4,1))="",FALSE,AND('Editable assumptions'!B16&lt;=DATE(2026,1,1),DATE(2026,1,1)&lt;=DATE(2027,4,1))),'Model inputs'!D12,"")</f>
      </c>
    </row>
    <row r="510">
      <c r="A510" t="inlineStr" s="21">
        <is>
          <t xml:space="preserve">Calculation</t>
        </is>
      </c>
      <c r="B510">
        <f>IF(IF(AND('Editable assumptions'!B16&lt;=DATE(2026,2,1),DATE(2026,2,1)&lt;=DATE(2027,4,1))="",FALSE,AND('Editable assumptions'!B16&lt;=DATE(2026,2,1),DATE(2026,2,1)&lt;=DATE(2027,4,1))),'Model inputs'!E12,"")</f>
      </c>
    </row>
    <row r="511">
      <c r="A511" t="inlineStr" s="21">
        <is>
          <t xml:space="preserve">Calculation</t>
        </is>
      </c>
      <c r="B511">
        <f>IF(IF(AND('Editable assumptions'!B16&lt;=DATE(2026,3,1),DATE(2026,3,1)&lt;=DATE(2027,4,1))="",FALSE,AND('Editable assumptions'!B16&lt;=DATE(2026,3,1),DATE(2026,3,1)&lt;=DATE(2027,4,1))),'Model inputs'!F12,"")</f>
      </c>
    </row>
    <row r="512">
      <c r="A512" t="inlineStr" s="21">
        <is>
          <t xml:space="preserve">Calculation</t>
        </is>
      </c>
      <c r="B512">
        <f>IF(IF(AND('Editable assumptions'!B16&lt;=DATE(2026,4,1),DATE(2026,4,1)&lt;=DATE(2027,4,1))="",FALSE,AND('Editable assumptions'!B16&lt;=DATE(2026,4,1),DATE(2026,4,1)&lt;=DATE(2027,4,1))),'Model inputs'!G12,"")</f>
      </c>
    </row>
    <row r="513">
      <c r="A513" t="inlineStr" s="21">
        <is>
          <t xml:space="preserve">Calculation</t>
        </is>
      </c>
      <c r="B513">
        <f>IF(IF(AND('Editable assumptions'!B16&lt;=DATE(2026,5,1),DATE(2026,5,1)&lt;=DATE(2027,4,1))="",FALSE,AND('Editable assumptions'!B16&lt;=DATE(2026,5,1),DATE(2026,5,1)&lt;=DATE(2027,4,1))),'Model inputs'!H12,"")</f>
      </c>
    </row>
    <row r="514">
      <c r="A514" t="inlineStr" s="21">
        <is>
          <t xml:space="preserve">Calculation</t>
        </is>
      </c>
      <c r="B514">
        <f>IF(IF(AND('Editable assumptions'!B16&lt;=DATE(2026,6,1),DATE(2026,6,1)&lt;=DATE(2027,4,1))="",FALSE,AND('Editable assumptions'!B16&lt;=DATE(2026,6,1),DATE(2026,6,1)&lt;=DATE(2027,4,1))),'Model inputs'!I12,"")</f>
      </c>
    </row>
    <row r="515">
      <c r="A515" t="inlineStr" s="21">
        <is>
          <t xml:space="preserve">Calculation</t>
        </is>
      </c>
      <c r="B515">
        <f>IF(IF(AND('Editable assumptions'!B16&lt;=DATE(2026,7,1),DATE(2026,7,1)&lt;=DATE(2027,4,1))="",FALSE,AND('Editable assumptions'!B16&lt;=DATE(2026,7,1),DATE(2026,7,1)&lt;=DATE(2027,4,1))),'Model inputs'!J12,"")</f>
      </c>
    </row>
    <row r="516">
      <c r="A516" t="inlineStr" s="21">
        <is>
          <t xml:space="preserve">Calculation</t>
        </is>
      </c>
      <c r="B516">
        <f>IF(IF(AND('Editable assumptions'!B16&lt;=DATE(2026,8,1),DATE(2026,8,1)&lt;=DATE(2027,4,1))="",FALSE,AND('Editable assumptions'!B16&lt;=DATE(2026,8,1),DATE(2026,8,1)&lt;=DATE(2027,4,1))),'Model inputs'!K12,"")</f>
      </c>
    </row>
    <row r="517">
      <c r="A517" t="inlineStr" s="21">
        <is>
          <t xml:space="preserve">Calculation</t>
        </is>
      </c>
      <c r="B517">
        <f>IF(AND('Model inputs'!B484="",'Model inputs'!B485="",'Model inputs'!B486="",'Model inputs'!B487="",'Model inputs'!B488="",'Model inputs'!B489="",'Model inputs'!B490="",'Model inputs'!B491="",'Model inputs'!B492="",'Model inputs'!B493="",'Model inputs'!B494="",'Model inputs'!B495="",'Model inputs'!B496="",'Model inputs'!B497="",'Model inputs'!B498="",'Model inputs'!B499="",'Model inputs'!B500="",'Model inputs'!B501="",'Model inputs'!B502="",'Model inputs'!B503="",'Model inputs'!B504="",'Model inputs'!B505="",'Model inputs'!B506="",'Model inputs'!B507="",'Model inputs'!B508="",'Model inputs'!B509="",'Model inputs'!B510="",'Model inputs'!B511="",'Model inputs'!B512="",'Model inputs'!B513="",'Model inputs'!B514="",'Model inputs'!B515="",'Model inputs'!B516=""),"",MIN('Model inputs'!B484,'Model inputs'!B485,'Model inputs'!B486,'Model inputs'!B487,'Model inputs'!B488,'Model inputs'!B489,'Model inputs'!B490,'Model inputs'!B491,'Model inputs'!B492,'Model inputs'!B493,'Model inputs'!B494,'Model inputs'!B495,'Model inputs'!B496,'Model inputs'!B497,'Model inputs'!B498,'Model inputs'!B499,'Model inputs'!B500,'Model inputs'!B501,'Model inputs'!B502,'Model inputs'!B503,'Model inputs'!B504,'Model inputs'!B505,'Model inputs'!B506,'Model inputs'!B507,'Model inputs'!B508,'Model inputs'!B509,'Model inputs'!B510,'Model inputs'!B511,'Model inputs'!B512,'Model inputs'!B513,'Model inputs'!B514,'Model inputs'!B515,'Model inputs'!B516))</f>
      </c>
    </row>
    <row r="518">
      <c r="A518" t="inlineStr" s="21">
        <is>
          <t xml:space="preserve">Calculation</t>
        </is>
      </c>
      <c r="B518">
        <f>IF(IF(AND('Editable assumptions'!B16&lt;=DATE(2026,9,1),DATE(2026,9,1)&lt;=DATE(2027,5,1))="",FALSE,AND('Editable assumptions'!B16&lt;=DATE(2026,9,1),DATE(2026,9,1)&lt;=DATE(2027,5,1))),'Monthly forecast and cash'!B29,"")</f>
      </c>
    </row>
    <row r="519">
      <c r="A519" t="inlineStr" s="21">
        <is>
          <t xml:space="preserve">Calculation</t>
        </is>
      </c>
      <c r="B519">
        <f>IF(IF(AND('Editable assumptions'!B16&lt;=DATE(2026,10,1),DATE(2026,10,1)&lt;=DATE(2027,5,1))="",FALSE,AND('Editable assumptions'!B16&lt;=DATE(2026,10,1),DATE(2026,10,1)&lt;=DATE(2027,5,1))),'Monthly forecast and cash'!C29,"")</f>
      </c>
    </row>
    <row r="520">
      <c r="A520" t="inlineStr" s="21">
        <is>
          <t xml:space="preserve">Calculation</t>
        </is>
      </c>
      <c r="B520">
        <f>IF(IF(AND('Editable assumptions'!B16&lt;=DATE(2026,11,1),DATE(2026,11,1)&lt;=DATE(2027,5,1))="",FALSE,AND('Editable assumptions'!B16&lt;=DATE(2026,11,1),DATE(2026,11,1)&lt;=DATE(2027,5,1))),'Monthly forecast and cash'!D29,"")</f>
      </c>
    </row>
    <row r="521">
      <c r="A521" t="inlineStr" s="21">
        <is>
          <t xml:space="preserve">Calculation</t>
        </is>
      </c>
      <c r="B521">
        <f>IF(IF(AND('Editable assumptions'!B16&lt;=DATE(2026,12,1),DATE(2026,12,1)&lt;=DATE(2027,5,1))="",FALSE,AND('Editable assumptions'!B16&lt;=DATE(2026,12,1),DATE(2026,12,1)&lt;=DATE(2027,5,1))),'Monthly forecast and cash'!E29,"")</f>
      </c>
    </row>
    <row r="522">
      <c r="A522" t="inlineStr" s="21">
        <is>
          <t xml:space="preserve">Calculation</t>
        </is>
      </c>
      <c r="B522">
        <f>IF(IF(AND('Editable assumptions'!B16&lt;=DATE(2027,1,1),DATE(2027,1,1)&lt;=DATE(2027,5,1))="",FALSE,AND('Editable assumptions'!B16&lt;=DATE(2027,1,1),DATE(2027,1,1)&lt;=DATE(2027,5,1))),'Monthly forecast and cash'!F29,"")</f>
      </c>
    </row>
    <row r="523">
      <c r="A523" t="inlineStr" s="21">
        <is>
          <t xml:space="preserve">Calculation</t>
        </is>
      </c>
      <c r="B523">
        <f>IF(IF(AND('Editable assumptions'!B16&lt;=DATE(2027,2,1),DATE(2027,2,1)&lt;=DATE(2027,5,1))="",FALSE,AND('Editable assumptions'!B16&lt;=DATE(2027,2,1),DATE(2027,2,1)&lt;=DATE(2027,5,1))),'Monthly forecast and cash'!G29,"")</f>
      </c>
    </row>
    <row r="524">
      <c r="A524" t="inlineStr" s="21">
        <is>
          <t xml:space="preserve">Calculation</t>
        </is>
      </c>
      <c r="B524">
        <f>IF(IF(AND('Editable assumptions'!B16&lt;=DATE(2027,3,1),DATE(2027,3,1)&lt;=DATE(2027,5,1))="",FALSE,AND('Editable assumptions'!B16&lt;=DATE(2027,3,1),DATE(2027,3,1)&lt;=DATE(2027,5,1))),'Monthly forecast and cash'!H29,"")</f>
      </c>
    </row>
    <row r="525">
      <c r="A525" t="inlineStr" s="21">
        <is>
          <t xml:space="preserve">Calculation</t>
        </is>
      </c>
      <c r="B525">
        <f>IF(IF(AND('Editable assumptions'!B16&lt;=DATE(2027,4,1),DATE(2027,4,1)&lt;=DATE(2027,5,1))="",FALSE,AND('Editable assumptions'!B16&lt;=DATE(2027,4,1),DATE(2027,4,1)&lt;=DATE(2027,5,1))),'Monthly forecast and cash'!I29,"")</f>
      </c>
    </row>
    <row r="526">
      <c r="A526" t="inlineStr" s="21">
        <is>
          <t xml:space="preserve">Calculation</t>
        </is>
      </c>
      <c r="B526">
        <f>IF(IF(AND('Editable assumptions'!B16&lt;=DATE(2027,5,1),DATE(2027,5,1)&lt;=DATE(2027,5,1))="",FALSE,AND('Editable assumptions'!B16&lt;=DATE(2027,5,1),DATE(2027,5,1)&lt;=DATE(2027,5,1))),'Monthly forecast and cash'!J29,"")</f>
      </c>
    </row>
    <row r="527">
      <c r="A527" t="inlineStr" s="21">
        <is>
          <t xml:space="preserve">Calculation</t>
        </is>
      </c>
      <c r="B527">
        <f>IF(IF(AND('Editable assumptions'!B16&lt;=DATE(2027,6,1),DATE(2027,6,1)&lt;=DATE(2027,5,1))="",FALSE,AND('Editable assumptions'!B16&lt;=DATE(2027,6,1),DATE(2027,6,1)&lt;=DATE(2027,5,1))),'Monthly forecast and cash'!K29,"")</f>
      </c>
    </row>
    <row r="528">
      <c r="A528" t="inlineStr" s="21">
        <is>
          <t xml:space="preserve">Calculation</t>
        </is>
      </c>
      <c r="B528">
        <f>IF(IF(AND('Editable assumptions'!B16&lt;=DATE(2027,7,1),DATE(2027,7,1)&lt;=DATE(2027,5,1))="",FALSE,AND('Editable assumptions'!B16&lt;=DATE(2027,7,1),DATE(2027,7,1)&lt;=DATE(2027,5,1))),'Monthly forecast and cash'!L29,"")</f>
      </c>
    </row>
    <row r="529">
      <c r="A529" t="inlineStr" s="21">
        <is>
          <t xml:space="preserve">Calculation</t>
        </is>
      </c>
      <c r="B529">
        <f>IF(IF(AND('Editable assumptions'!B16&lt;=DATE(2027,8,1),DATE(2027,8,1)&lt;=DATE(2027,5,1))="",FALSE,AND('Editable assumptions'!B16&lt;=DATE(2027,8,1),DATE(2027,8,1)&lt;=DATE(2027,5,1))),'Monthly forecast and cash'!M29,"")</f>
      </c>
    </row>
    <row r="530">
      <c r="A530" t="inlineStr" s="21">
        <is>
          <t xml:space="preserve">Calculation</t>
        </is>
      </c>
      <c r="B530">
        <f>IF(IF(AND('Editable assumptions'!B16&lt;=DATE(2027,9,1),DATE(2027,9,1)&lt;=DATE(2027,5,1))="",FALSE,AND('Editable assumptions'!B16&lt;=DATE(2027,9,1),DATE(2027,9,1)&lt;=DATE(2027,5,1))),'Monthly forecast and cash'!N29,"")</f>
      </c>
    </row>
    <row r="531">
      <c r="A531" t="inlineStr" s="21">
        <is>
          <t xml:space="preserve">Calculation</t>
        </is>
      </c>
      <c r="B531">
        <f>IF(IF(AND('Editable assumptions'!B16&lt;=DATE(2027,10,1),DATE(2027,10,1)&lt;=DATE(2027,5,1))="",FALSE,AND('Editable assumptions'!B16&lt;=DATE(2027,10,1),DATE(2027,10,1)&lt;=DATE(2027,5,1))),'Monthly forecast and cash'!O29,"")</f>
      </c>
    </row>
    <row r="532">
      <c r="A532" t="inlineStr" s="21">
        <is>
          <t xml:space="preserve">Calculation</t>
        </is>
      </c>
      <c r="B532">
        <f>IF(IF(AND('Editable assumptions'!B16&lt;=DATE(2027,11,1),DATE(2027,11,1)&lt;=DATE(2027,5,1))="",FALSE,AND('Editable assumptions'!B16&lt;=DATE(2027,11,1),DATE(2027,11,1)&lt;=DATE(2027,5,1))),'Monthly forecast and cash'!P29,"")</f>
      </c>
    </row>
    <row r="533">
      <c r="A533" t="inlineStr" s="21">
        <is>
          <t xml:space="preserve">Calculation</t>
        </is>
      </c>
      <c r="B533">
        <f>IF(IF(AND('Editable assumptions'!B16&lt;=DATE(2027,12,1),DATE(2027,12,1)&lt;=DATE(2027,5,1))="",FALSE,AND('Editable assumptions'!B16&lt;=DATE(2027,12,1),DATE(2027,12,1)&lt;=DATE(2027,5,1))),'Monthly forecast and cash'!Q29,"")</f>
      </c>
    </row>
    <row r="534">
      <c r="A534" t="inlineStr" s="21">
        <is>
          <t xml:space="preserve">Calculation</t>
        </is>
      </c>
      <c r="B534">
        <f>IF(IF(AND('Editable assumptions'!B16&lt;=DATE(2028,1,1),DATE(2028,1,1)&lt;=DATE(2027,5,1))="",FALSE,AND('Editable assumptions'!B16&lt;=DATE(2028,1,1),DATE(2028,1,1)&lt;=DATE(2027,5,1))),'Monthly forecast and cash'!R29,"")</f>
      </c>
    </row>
    <row r="535">
      <c r="A535" t="inlineStr" s="21">
        <is>
          <t xml:space="preserve">Calculation</t>
        </is>
      </c>
      <c r="B535">
        <f>IF(IF(AND('Editable assumptions'!B16&lt;=DATE(2028,2,1),DATE(2028,2,1)&lt;=DATE(2027,5,1))="",FALSE,AND('Editable assumptions'!B16&lt;=DATE(2028,2,1),DATE(2028,2,1)&lt;=DATE(2027,5,1))),'Monthly forecast and cash'!S29,"")</f>
      </c>
    </row>
    <row r="536">
      <c r="A536" t="inlineStr" s="21">
        <is>
          <t xml:space="preserve">Calculation</t>
        </is>
      </c>
      <c r="B536">
        <f>IF(IF(AND('Editable assumptions'!B16&lt;=DATE(2028,3,1),DATE(2028,3,1)&lt;=DATE(2027,5,1))="",FALSE,AND('Editable assumptions'!B16&lt;=DATE(2028,3,1),DATE(2028,3,1)&lt;=DATE(2027,5,1))),'Monthly forecast and cash'!T29,"")</f>
      </c>
    </row>
    <row r="537">
      <c r="A537" t="inlineStr" s="21">
        <is>
          <t xml:space="preserve">Calculation</t>
        </is>
      </c>
      <c r="B537">
        <f>IF(IF(AND('Editable assumptions'!B16&lt;=DATE(2028,4,1),DATE(2028,4,1)&lt;=DATE(2027,5,1))="",FALSE,AND('Editable assumptions'!B16&lt;=DATE(2028,4,1),DATE(2028,4,1)&lt;=DATE(2027,5,1))),'Monthly forecast and cash'!U29,"")</f>
      </c>
    </row>
    <row r="538">
      <c r="A538" t="inlineStr" s="21">
        <is>
          <t xml:space="preserve">Calculation</t>
        </is>
      </c>
      <c r="B538">
        <f>IF(IF(AND('Editable assumptions'!B16&lt;=DATE(2028,5,1),DATE(2028,5,1)&lt;=DATE(2027,5,1))="",FALSE,AND('Editable assumptions'!B16&lt;=DATE(2028,5,1),DATE(2028,5,1)&lt;=DATE(2027,5,1))),'Monthly forecast and cash'!V29,"")</f>
      </c>
    </row>
    <row r="539">
      <c r="A539" t="inlineStr" s="21">
        <is>
          <t xml:space="preserve">Calculation</t>
        </is>
      </c>
      <c r="B539">
        <f>IF(IF(AND('Editable assumptions'!B16&lt;=DATE(2028,6,1),DATE(2028,6,1)&lt;=DATE(2027,5,1))="",FALSE,AND('Editable assumptions'!B16&lt;=DATE(2028,6,1),DATE(2028,6,1)&lt;=DATE(2027,5,1))),'Monthly forecast and cash'!W29,"")</f>
      </c>
    </row>
    <row r="540">
      <c r="A540" t="inlineStr" s="21">
        <is>
          <t xml:space="preserve">Calculation</t>
        </is>
      </c>
      <c r="B540">
        <f>IF(IF(AND('Editable assumptions'!B16&lt;=DATE(2028,7,1),DATE(2028,7,1)&lt;=DATE(2027,5,1))="",FALSE,AND('Editable assumptions'!B16&lt;=DATE(2028,7,1),DATE(2028,7,1)&lt;=DATE(2027,5,1))),'Monthly forecast and cash'!X29,"")</f>
      </c>
    </row>
    <row r="541">
      <c r="A541" t="inlineStr" s="21">
        <is>
          <t xml:space="preserve">Calculation</t>
        </is>
      </c>
      <c r="B541">
        <f>IF(IF(AND('Editable assumptions'!B16&lt;=DATE(2028,8,1),DATE(2028,8,1)&lt;=DATE(2027,5,1))="",FALSE,AND('Editable assumptions'!B16&lt;=DATE(2028,8,1),DATE(2028,8,1)&lt;=DATE(2027,5,1))),'Monthly forecast and cash'!Y29,"")</f>
      </c>
    </row>
    <row r="542">
      <c r="A542" t="inlineStr" s="21">
        <is>
          <t xml:space="preserve">Calculation</t>
        </is>
      </c>
      <c r="B542">
        <f>IF(IF(AND('Editable assumptions'!B16&lt;=DATE(2028,9,1),DATE(2028,9,1)&lt;=DATE(2027,5,1))="",FALSE,AND('Editable assumptions'!B16&lt;=DATE(2028,9,1),DATE(2028,9,1)&lt;=DATE(2027,5,1))),'Monthly forecast and cash'!Z29,"")</f>
      </c>
    </row>
    <row r="543">
      <c r="A543" t="inlineStr" s="21">
        <is>
          <t xml:space="preserve">Calculation</t>
        </is>
      </c>
      <c r="B543">
        <f>IF(IF(AND('Editable assumptions'!B16&lt;=DATE(2026,1,1),DATE(2026,1,1)&lt;=DATE(2027,5,1))="",FALSE,AND('Editable assumptions'!B16&lt;=DATE(2026,1,1),DATE(2026,1,1)&lt;=DATE(2027,5,1))),'Model inputs'!D12,"")</f>
      </c>
    </row>
    <row r="544">
      <c r="A544" t="inlineStr" s="21">
        <is>
          <t xml:space="preserve">Calculation</t>
        </is>
      </c>
      <c r="B544">
        <f>IF(IF(AND('Editable assumptions'!B16&lt;=DATE(2026,2,1),DATE(2026,2,1)&lt;=DATE(2027,5,1))="",FALSE,AND('Editable assumptions'!B16&lt;=DATE(2026,2,1),DATE(2026,2,1)&lt;=DATE(2027,5,1))),'Model inputs'!E12,"")</f>
      </c>
    </row>
    <row r="545">
      <c r="A545" t="inlineStr" s="21">
        <is>
          <t xml:space="preserve">Calculation</t>
        </is>
      </c>
      <c r="B545">
        <f>IF(IF(AND('Editable assumptions'!B16&lt;=DATE(2026,3,1),DATE(2026,3,1)&lt;=DATE(2027,5,1))="",FALSE,AND('Editable assumptions'!B16&lt;=DATE(2026,3,1),DATE(2026,3,1)&lt;=DATE(2027,5,1))),'Model inputs'!F12,"")</f>
      </c>
    </row>
    <row r="546">
      <c r="A546" t="inlineStr" s="21">
        <is>
          <t xml:space="preserve">Calculation</t>
        </is>
      </c>
      <c r="B546">
        <f>IF(IF(AND('Editable assumptions'!B16&lt;=DATE(2026,4,1),DATE(2026,4,1)&lt;=DATE(2027,5,1))="",FALSE,AND('Editable assumptions'!B16&lt;=DATE(2026,4,1),DATE(2026,4,1)&lt;=DATE(2027,5,1))),'Model inputs'!G12,"")</f>
      </c>
    </row>
    <row r="547">
      <c r="A547" t="inlineStr" s="21">
        <is>
          <t xml:space="preserve">Calculation</t>
        </is>
      </c>
      <c r="B547">
        <f>IF(IF(AND('Editable assumptions'!B16&lt;=DATE(2026,5,1),DATE(2026,5,1)&lt;=DATE(2027,5,1))="",FALSE,AND('Editable assumptions'!B16&lt;=DATE(2026,5,1),DATE(2026,5,1)&lt;=DATE(2027,5,1))),'Model inputs'!H12,"")</f>
      </c>
    </row>
    <row r="548">
      <c r="A548" t="inlineStr" s="21">
        <is>
          <t xml:space="preserve">Calculation</t>
        </is>
      </c>
      <c r="B548">
        <f>IF(IF(AND('Editable assumptions'!B16&lt;=DATE(2026,6,1),DATE(2026,6,1)&lt;=DATE(2027,5,1))="",FALSE,AND('Editable assumptions'!B16&lt;=DATE(2026,6,1),DATE(2026,6,1)&lt;=DATE(2027,5,1))),'Model inputs'!I12,"")</f>
      </c>
    </row>
    <row r="549">
      <c r="A549" t="inlineStr" s="21">
        <is>
          <t xml:space="preserve">Calculation</t>
        </is>
      </c>
      <c r="B549">
        <f>IF(IF(AND('Editable assumptions'!B16&lt;=DATE(2026,7,1),DATE(2026,7,1)&lt;=DATE(2027,5,1))="",FALSE,AND('Editable assumptions'!B16&lt;=DATE(2026,7,1),DATE(2026,7,1)&lt;=DATE(2027,5,1))),'Model inputs'!J12,"")</f>
      </c>
    </row>
    <row r="550">
      <c r="A550" t="inlineStr" s="21">
        <is>
          <t xml:space="preserve">Calculation</t>
        </is>
      </c>
      <c r="B550">
        <f>IF(IF(AND('Editable assumptions'!B16&lt;=DATE(2026,8,1),DATE(2026,8,1)&lt;=DATE(2027,5,1))="",FALSE,AND('Editable assumptions'!B16&lt;=DATE(2026,8,1),DATE(2026,8,1)&lt;=DATE(2027,5,1))),'Model inputs'!K12,"")</f>
      </c>
    </row>
    <row r="551">
      <c r="A551" t="inlineStr" s="21">
        <is>
          <t xml:space="preserve">Calculation</t>
        </is>
      </c>
      <c r="B551">
        <f>IF(AND('Model inputs'!B518="",'Model inputs'!B519="",'Model inputs'!B520="",'Model inputs'!B521="",'Model inputs'!B522="",'Model inputs'!B523="",'Model inputs'!B524="",'Model inputs'!B525="",'Model inputs'!B526="",'Model inputs'!B527="",'Model inputs'!B528="",'Model inputs'!B529="",'Model inputs'!B530="",'Model inputs'!B531="",'Model inputs'!B532="",'Model inputs'!B533="",'Model inputs'!B534="",'Model inputs'!B535="",'Model inputs'!B536="",'Model inputs'!B537="",'Model inputs'!B538="",'Model inputs'!B539="",'Model inputs'!B540="",'Model inputs'!B541="",'Model inputs'!B542="",'Model inputs'!B543="",'Model inputs'!B544="",'Model inputs'!B545="",'Model inputs'!B546="",'Model inputs'!B547="",'Model inputs'!B548="",'Model inputs'!B549="",'Model inputs'!B550=""),"",MIN('Model inputs'!B518,'Model inputs'!B519,'Model inputs'!B520,'Model inputs'!B521,'Model inputs'!B522,'Model inputs'!B523,'Model inputs'!B524,'Model inputs'!B525,'Model inputs'!B526,'Model inputs'!B527,'Model inputs'!B528,'Model inputs'!B529,'Model inputs'!B530,'Model inputs'!B531,'Model inputs'!B532,'Model inputs'!B533,'Model inputs'!B534,'Model inputs'!B535,'Model inputs'!B536,'Model inputs'!B537,'Model inputs'!B538,'Model inputs'!B539,'Model inputs'!B540,'Model inputs'!B541,'Model inputs'!B542,'Model inputs'!B543,'Model inputs'!B544,'Model inputs'!B545,'Model inputs'!B546,'Model inputs'!B547,'Model inputs'!B548,'Model inputs'!B549,'Model inputs'!B550))</f>
      </c>
    </row>
    <row r="552">
      <c r="A552" t="inlineStr" s="21">
        <is>
          <t xml:space="preserve">Calculation</t>
        </is>
      </c>
      <c r="B552">
        <f>IF(IF(AND('Editable assumptions'!B16&lt;=DATE(2026,9,1),DATE(2026,9,1)&lt;=DATE(2027,6,1))="",FALSE,AND('Editable assumptions'!B16&lt;=DATE(2026,9,1),DATE(2026,9,1)&lt;=DATE(2027,6,1))),'Monthly forecast and cash'!B29,"")</f>
      </c>
    </row>
    <row r="553">
      <c r="A553" t="inlineStr" s="21">
        <is>
          <t xml:space="preserve">Calculation</t>
        </is>
      </c>
      <c r="B553">
        <f>IF(IF(AND('Editable assumptions'!B16&lt;=DATE(2026,10,1),DATE(2026,10,1)&lt;=DATE(2027,6,1))="",FALSE,AND('Editable assumptions'!B16&lt;=DATE(2026,10,1),DATE(2026,10,1)&lt;=DATE(2027,6,1))),'Monthly forecast and cash'!C29,"")</f>
      </c>
    </row>
    <row r="554">
      <c r="A554" t="inlineStr" s="21">
        <is>
          <t xml:space="preserve">Calculation</t>
        </is>
      </c>
      <c r="B554">
        <f>IF(IF(AND('Editable assumptions'!B16&lt;=DATE(2026,11,1),DATE(2026,11,1)&lt;=DATE(2027,6,1))="",FALSE,AND('Editable assumptions'!B16&lt;=DATE(2026,11,1),DATE(2026,11,1)&lt;=DATE(2027,6,1))),'Monthly forecast and cash'!D29,"")</f>
      </c>
    </row>
    <row r="555">
      <c r="A555" t="inlineStr" s="21">
        <is>
          <t xml:space="preserve">Calculation</t>
        </is>
      </c>
      <c r="B555">
        <f>IF(IF(AND('Editable assumptions'!B16&lt;=DATE(2026,12,1),DATE(2026,12,1)&lt;=DATE(2027,6,1))="",FALSE,AND('Editable assumptions'!B16&lt;=DATE(2026,12,1),DATE(2026,12,1)&lt;=DATE(2027,6,1))),'Monthly forecast and cash'!E29,"")</f>
      </c>
    </row>
    <row r="556">
      <c r="A556" t="inlineStr" s="21">
        <is>
          <t xml:space="preserve">Calculation</t>
        </is>
      </c>
      <c r="B556">
        <f>IF(IF(AND('Editable assumptions'!B16&lt;=DATE(2027,1,1),DATE(2027,1,1)&lt;=DATE(2027,6,1))="",FALSE,AND('Editable assumptions'!B16&lt;=DATE(2027,1,1),DATE(2027,1,1)&lt;=DATE(2027,6,1))),'Monthly forecast and cash'!F29,"")</f>
      </c>
    </row>
    <row r="557">
      <c r="A557" t="inlineStr" s="21">
        <is>
          <t xml:space="preserve">Calculation</t>
        </is>
      </c>
      <c r="B557">
        <f>IF(IF(AND('Editable assumptions'!B16&lt;=DATE(2027,2,1),DATE(2027,2,1)&lt;=DATE(2027,6,1))="",FALSE,AND('Editable assumptions'!B16&lt;=DATE(2027,2,1),DATE(2027,2,1)&lt;=DATE(2027,6,1))),'Monthly forecast and cash'!G29,"")</f>
      </c>
    </row>
    <row r="558">
      <c r="A558" t="inlineStr" s="21">
        <is>
          <t xml:space="preserve">Calculation</t>
        </is>
      </c>
      <c r="B558">
        <f>IF(IF(AND('Editable assumptions'!B16&lt;=DATE(2027,3,1),DATE(2027,3,1)&lt;=DATE(2027,6,1))="",FALSE,AND('Editable assumptions'!B16&lt;=DATE(2027,3,1),DATE(2027,3,1)&lt;=DATE(2027,6,1))),'Monthly forecast and cash'!H29,"")</f>
      </c>
    </row>
    <row r="559">
      <c r="A559" t="inlineStr" s="21">
        <is>
          <t xml:space="preserve">Calculation</t>
        </is>
      </c>
      <c r="B559">
        <f>IF(IF(AND('Editable assumptions'!B16&lt;=DATE(2027,4,1),DATE(2027,4,1)&lt;=DATE(2027,6,1))="",FALSE,AND('Editable assumptions'!B16&lt;=DATE(2027,4,1),DATE(2027,4,1)&lt;=DATE(2027,6,1))),'Monthly forecast and cash'!I29,"")</f>
      </c>
    </row>
    <row r="560">
      <c r="A560" t="inlineStr" s="21">
        <is>
          <t xml:space="preserve">Calculation</t>
        </is>
      </c>
      <c r="B560">
        <f>IF(IF(AND('Editable assumptions'!B16&lt;=DATE(2027,5,1),DATE(2027,5,1)&lt;=DATE(2027,6,1))="",FALSE,AND('Editable assumptions'!B16&lt;=DATE(2027,5,1),DATE(2027,5,1)&lt;=DATE(2027,6,1))),'Monthly forecast and cash'!J29,"")</f>
      </c>
    </row>
    <row r="561">
      <c r="A561" t="inlineStr" s="21">
        <is>
          <t xml:space="preserve">Calculation</t>
        </is>
      </c>
      <c r="B561">
        <f>IF(IF(AND('Editable assumptions'!B16&lt;=DATE(2027,6,1),DATE(2027,6,1)&lt;=DATE(2027,6,1))="",FALSE,AND('Editable assumptions'!B16&lt;=DATE(2027,6,1),DATE(2027,6,1)&lt;=DATE(2027,6,1))),'Monthly forecast and cash'!K29,"")</f>
      </c>
    </row>
    <row r="562">
      <c r="A562" t="inlineStr" s="21">
        <is>
          <t xml:space="preserve">Calculation</t>
        </is>
      </c>
      <c r="B562">
        <f>IF(IF(AND('Editable assumptions'!B16&lt;=DATE(2027,7,1),DATE(2027,7,1)&lt;=DATE(2027,6,1))="",FALSE,AND('Editable assumptions'!B16&lt;=DATE(2027,7,1),DATE(2027,7,1)&lt;=DATE(2027,6,1))),'Monthly forecast and cash'!L29,"")</f>
      </c>
    </row>
    <row r="563">
      <c r="A563" t="inlineStr" s="21">
        <is>
          <t xml:space="preserve">Calculation</t>
        </is>
      </c>
      <c r="B563">
        <f>IF(IF(AND('Editable assumptions'!B16&lt;=DATE(2027,8,1),DATE(2027,8,1)&lt;=DATE(2027,6,1))="",FALSE,AND('Editable assumptions'!B16&lt;=DATE(2027,8,1),DATE(2027,8,1)&lt;=DATE(2027,6,1))),'Monthly forecast and cash'!M29,"")</f>
      </c>
    </row>
    <row r="564">
      <c r="A564" t="inlineStr" s="21">
        <is>
          <t xml:space="preserve">Calculation</t>
        </is>
      </c>
      <c r="B564">
        <f>IF(IF(AND('Editable assumptions'!B16&lt;=DATE(2027,9,1),DATE(2027,9,1)&lt;=DATE(2027,6,1))="",FALSE,AND('Editable assumptions'!B16&lt;=DATE(2027,9,1),DATE(2027,9,1)&lt;=DATE(2027,6,1))),'Monthly forecast and cash'!N29,"")</f>
      </c>
    </row>
    <row r="565">
      <c r="A565" t="inlineStr" s="21">
        <is>
          <t xml:space="preserve">Calculation</t>
        </is>
      </c>
      <c r="B565">
        <f>IF(IF(AND('Editable assumptions'!B16&lt;=DATE(2027,10,1),DATE(2027,10,1)&lt;=DATE(2027,6,1))="",FALSE,AND('Editable assumptions'!B16&lt;=DATE(2027,10,1),DATE(2027,10,1)&lt;=DATE(2027,6,1))),'Monthly forecast and cash'!O29,"")</f>
      </c>
    </row>
    <row r="566">
      <c r="A566" t="inlineStr" s="21">
        <is>
          <t xml:space="preserve">Calculation</t>
        </is>
      </c>
      <c r="B566">
        <f>IF(IF(AND('Editable assumptions'!B16&lt;=DATE(2027,11,1),DATE(2027,11,1)&lt;=DATE(2027,6,1))="",FALSE,AND('Editable assumptions'!B16&lt;=DATE(2027,11,1),DATE(2027,11,1)&lt;=DATE(2027,6,1))),'Monthly forecast and cash'!P29,"")</f>
      </c>
    </row>
    <row r="567">
      <c r="A567" t="inlineStr" s="21">
        <is>
          <t xml:space="preserve">Calculation</t>
        </is>
      </c>
      <c r="B567">
        <f>IF(IF(AND('Editable assumptions'!B16&lt;=DATE(2027,12,1),DATE(2027,12,1)&lt;=DATE(2027,6,1))="",FALSE,AND('Editable assumptions'!B16&lt;=DATE(2027,12,1),DATE(2027,12,1)&lt;=DATE(2027,6,1))),'Monthly forecast and cash'!Q29,"")</f>
      </c>
    </row>
    <row r="568">
      <c r="A568" t="inlineStr" s="21">
        <is>
          <t xml:space="preserve">Calculation</t>
        </is>
      </c>
      <c r="B568">
        <f>IF(IF(AND('Editable assumptions'!B16&lt;=DATE(2028,1,1),DATE(2028,1,1)&lt;=DATE(2027,6,1))="",FALSE,AND('Editable assumptions'!B16&lt;=DATE(2028,1,1),DATE(2028,1,1)&lt;=DATE(2027,6,1))),'Monthly forecast and cash'!R29,"")</f>
      </c>
    </row>
    <row r="569">
      <c r="A569" t="inlineStr" s="21">
        <is>
          <t xml:space="preserve">Calculation</t>
        </is>
      </c>
      <c r="B569">
        <f>IF(IF(AND('Editable assumptions'!B16&lt;=DATE(2028,2,1),DATE(2028,2,1)&lt;=DATE(2027,6,1))="",FALSE,AND('Editable assumptions'!B16&lt;=DATE(2028,2,1),DATE(2028,2,1)&lt;=DATE(2027,6,1))),'Monthly forecast and cash'!S29,"")</f>
      </c>
    </row>
    <row r="570">
      <c r="A570" t="inlineStr" s="21">
        <is>
          <t xml:space="preserve">Calculation</t>
        </is>
      </c>
      <c r="B570">
        <f>IF(IF(AND('Editable assumptions'!B16&lt;=DATE(2028,3,1),DATE(2028,3,1)&lt;=DATE(2027,6,1))="",FALSE,AND('Editable assumptions'!B16&lt;=DATE(2028,3,1),DATE(2028,3,1)&lt;=DATE(2027,6,1))),'Monthly forecast and cash'!T29,"")</f>
      </c>
    </row>
    <row r="571">
      <c r="A571" t="inlineStr" s="21">
        <is>
          <t xml:space="preserve">Calculation</t>
        </is>
      </c>
      <c r="B571">
        <f>IF(IF(AND('Editable assumptions'!B16&lt;=DATE(2028,4,1),DATE(2028,4,1)&lt;=DATE(2027,6,1))="",FALSE,AND('Editable assumptions'!B16&lt;=DATE(2028,4,1),DATE(2028,4,1)&lt;=DATE(2027,6,1))),'Monthly forecast and cash'!U29,"")</f>
      </c>
    </row>
    <row r="572">
      <c r="A572" t="inlineStr" s="21">
        <is>
          <t xml:space="preserve">Calculation</t>
        </is>
      </c>
      <c r="B572">
        <f>IF(IF(AND('Editable assumptions'!B16&lt;=DATE(2028,5,1),DATE(2028,5,1)&lt;=DATE(2027,6,1))="",FALSE,AND('Editable assumptions'!B16&lt;=DATE(2028,5,1),DATE(2028,5,1)&lt;=DATE(2027,6,1))),'Monthly forecast and cash'!V29,"")</f>
      </c>
    </row>
    <row r="573">
      <c r="A573" t="inlineStr" s="21">
        <is>
          <t xml:space="preserve">Calculation</t>
        </is>
      </c>
      <c r="B573">
        <f>IF(IF(AND('Editable assumptions'!B16&lt;=DATE(2028,6,1),DATE(2028,6,1)&lt;=DATE(2027,6,1))="",FALSE,AND('Editable assumptions'!B16&lt;=DATE(2028,6,1),DATE(2028,6,1)&lt;=DATE(2027,6,1))),'Monthly forecast and cash'!W29,"")</f>
      </c>
    </row>
    <row r="574">
      <c r="A574" t="inlineStr" s="21">
        <is>
          <t xml:space="preserve">Calculation</t>
        </is>
      </c>
      <c r="B574">
        <f>IF(IF(AND('Editable assumptions'!B16&lt;=DATE(2028,7,1),DATE(2028,7,1)&lt;=DATE(2027,6,1))="",FALSE,AND('Editable assumptions'!B16&lt;=DATE(2028,7,1),DATE(2028,7,1)&lt;=DATE(2027,6,1))),'Monthly forecast and cash'!X29,"")</f>
      </c>
    </row>
    <row r="575">
      <c r="A575" t="inlineStr" s="21">
        <is>
          <t xml:space="preserve">Calculation</t>
        </is>
      </c>
      <c r="B575">
        <f>IF(IF(AND('Editable assumptions'!B16&lt;=DATE(2028,8,1),DATE(2028,8,1)&lt;=DATE(2027,6,1))="",FALSE,AND('Editable assumptions'!B16&lt;=DATE(2028,8,1),DATE(2028,8,1)&lt;=DATE(2027,6,1))),'Monthly forecast and cash'!Y29,"")</f>
      </c>
    </row>
    <row r="576">
      <c r="A576" t="inlineStr" s="21">
        <is>
          <t xml:space="preserve">Calculation</t>
        </is>
      </c>
      <c r="B576">
        <f>IF(IF(AND('Editable assumptions'!B16&lt;=DATE(2028,9,1),DATE(2028,9,1)&lt;=DATE(2027,6,1))="",FALSE,AND('Editable assumptions'!B16&lt;=DATE(2028,9,1),DATE(2028,9,1)&lt;=DATE(2027,6,1))),'Monthly forecast and cash'!Z29,"")</f>
      </c>
    </row>
    <row r="577">
      <c r="A577" t="inlineStr" s="21">
        <is>
          <t xml:space="preserve">Calculation</t>
        </is>
      </c>
      <c r="B577">
        <f>IF(IF(AND('Editable assumptions'!B16&lt;=DATE(2026,1,1),DATE(2026,1,1)&lt;=DATE(2027,6,1))="",FALSE,AND('Editable assumptions'!B16&lt;=DATE(2026,1,1),DATE(2026,1,1)&lt;=DATE(2027,6,1))),'Model inputs'!D12,"")</f>
      </c>
    </row>
    <row r="578">
      <c r="A578" t="inlineStr" s="21">
        <is>
          <t xml:space="preserve">Calculation</t>
        </is>
      </c>
      <c r="B578">
        <f>IF(IF(AND('Editable assumptions'!B16&lt;=DATE(2026,2,1),DATE(2026,2,1)&lt;=DATE(2027,6,1))="",FALSE,AND('Editable assumptions'!B16&lt;=DATE(2026,2,1),DATE(2026,2,1)&lt;=DATE(2027,6,1))),'Model inputs'!E12,"")</f>
      </c>
    </row>
    <row r="579">
      <c r="A579" t="inlineStr" s="21">
        <is>
          <t xml:space="preserve">Calculation</t>
        </is>
      </c>
      <c r="B579">
        <f>IF(IF(AND('Editable assumptions'!B16&lt;=DATE(2026,3,1),DATE(2026,3,1)&lt;=DATE(2027,6,1))="",FALSE,AND('Editable assumptions'!B16&lt;=DATE(2026,3,1),DATE(2026,3,1)&lt;=DATE(2027,6,1))),'Model inputs'!F12,"")</f>
      </c>
    </row>
    <row r="580">
      <c r="A580" t="inlineStr" s="21">
        <is>
          <t xml:space="preserve">Calculation</t>
        </is>
      </c>
      <c r="B580">
        <f>IF(IF(AND('Editable assumptions'!B16&lt;=DATE(2026,4,1),DATE(2026,4,1)&lt;=DATE(2027,6,1))="",FALSE,AND('Editable assumptions'!B16&lt;=DATE(2026,4,1),DATE(2026,4,1)&lt;=DATE(2027,6,1))),'Model inputs'!G12,"")</f>
      </c>
    </row>
    <row r="581">
      <c r="A581" t="inlineStr" s="21">
        <is>
          <t xml:space="preserve">Calculation</t>
        </is>
      </c>
      <c r="B581">
        <f>IF(IF(AND('Editable assumptions'!B16&lt;=DATE(2026,5,1),DATE(2026,5,1)&lt;=DATE(2027,6,1))="",FALSE,AND('Editable assumptions'!B16&lt;=DATE(2026,5,1),DATE(2026,5,1)&lt;=DATE(2027,6,1))),'Model inputs'!H12,"")</f>
      </c>
    </row>
    <row r="582">
      <c r="A582" t="inlineStr" s="21">
        <is>
          <t xml:space="preserve">Calculation</t>
        </is>
      </c>
      <c r="B582">
        <f>IF(IF(AND('Editable assumptions'!B16&lt;=DATE(2026,6,1),DATE(2026,6,1)&lt;=DATE(2027,6,1))="",FALSE,AND('Editable assumptions'!B16&lt;=DATE(2026,6,1),DATE(2026,6,1)&lt;=DATE(2027,6,1))),'Model inputs'!I12,"")</f>
      </c>
    </row>
    <row r="583">
      <c r="A583" t="inlineStr" s="21">
        <is>
          <t xml:space="preserve">Calculation</t>
        </is>
      </c>
      <c r="B583">
        <f>IF(IF(AND('Editable assumptions'!B16&lt;=DATE(2026,7,1),DATE(2026,7,1)&lt;=DATE(2027,6,1))="",FALSE,AND('Editable assumptions'!B16&lt;=DATE(2026,7,1),DATE(2026,7,1)&lt;=DATE(2027,6,1))),'Model inputs'!J12,"")</f>
      </c>
    </row>
    <row r="584">
      <c r="A584" t="inlineStr" s="21">
        <is>
          <t xml:space="preserve">Calculation</t>
        </is>
      </c>
      <c r="B584">
        <f>IF(IF(AND('Editable assumptions'!B16&lt;=DATE(2026,8,1),DATE(2026,8,1)&lt;=DATE(2027,6,1))="",FALSE,AND('Editable assumptions'!B16&lt;=DATE(2026,8,1),DATE(2026,8,1)&lt;=DATE(2027,6,1))),'Model inputs'!K12,"")</f>
      </c>
    </row>
    <row r="585">
      <c r="A585" t="inlineStr" s="21">
        <is>
          <t xml:space="preserve">Calculation</t>
        </is>
      </c>
      <c r="B585">
        <f>IF(AND('Model inputs'!B552="",'Model inputs'!B553="",'Model inputs'!B554="",'Model inputs'!B555="",'Model inputs'!B556="",'Model inputs'!B557="",'Model inputs'!B558="",'Model inputs'!B559="",'Model inputs'!B560="",'Model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inputs'!B584=""),"",MIN('Model inputs'!B552,'Model inputs'!B553,'Model inputs'!B554,'Model inputs'!B555,'Model inputs'!B556,'Model inputs'!B557,'Model inputs'!B558,'Model inputs'!B559,'Model inputs'!B560,'Model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f>
      </c>
    </row>
    <row r="586">
      <c r="A586" t="inlineStr" s="21">
        <is>
          <t xml:space="preserve">Calculation</t>
        </is>
      </c>
      <c r="B586">
        <f>IF(IF(AND('Editable assumptions'!B16&lt;=DATE(2026,9,1),DATE(2026,9,1)&lt;=DATE(2027,7,1))="",FALSE,AND('Editable assumptions'!B16&lt;=DATE(2026,9,1),DATE(2026,9,1)&lt;=DATE(2027,7,1))),'Monthly forecast and cash'!B29,"")</f>
      </c>
    </row>
    <row r="587">
      <c r="A587" t="inlineStr" s="21">
        <is>
          <t xml:space="preserve">Calculation</t>
        </is>
      </c>
      <c r="B587">
        <f>IF(IF(AND('Editable assumptions'!B16&lt;=DATE(2026,10,1),DATE(2026,10,1)&lt;=DATE(2027,7,1))="",FALSE,AND('Editable assumptions'!B16&lt;=DATE(2026,10,1),DATE(2026,10,1)&lt;=DATE(2027,7,1))),'Monthly forecast and cash'!C29,"")</f>
      </c>
    </row>
    <row r="588">
      <c r="A588" t="inlineStr" s="21">
        <is>
          <t xml:space="preserve">Calculation</t>
        </is>
      </c>
      <c r="B588">
        <f>IF(IF(AND('Editable assumptions'!B16&lt;=DATE(2026,11,1),DATE(2026,11,1)&lt;=DATE(2027,7,1))="",FALSE,AND('Editable assumptions'!B16&lt;=DATE(2026,11,1),DATE(2026,11,1)&lt;=DATE(2027,7,1))),'Monthly forecast and cash'!D29,"")</f>
      </c>
    </row>
    <row r="589">
      <c r="A589" t="inlineStr" s="21">
        <is>
          <t xml:space="preserve">Calculation</t>
        </is>
      </c>
      <c r="B589">
        <f>IF(IF(AND('Editable assumptions'!B16&lt;=DATE(2026,12,1),DATE(2026,12,1)&lt;=DATE(2027,7,1))="",FALSE,AND('Editable assumptions'!B16&lt;=DATE(2026,12,1),DATE(2026,12,1)&lt;=DATE(2027,7,1))),'Monthly forecast and cash'!E29,"")</f>
      </c>
    </row>
    <row r="590">
      <c r="A590" t="inlineStr" s="21">
        <is>
          <t xml:space="preserve">Calculation</t>
        </is>
      </c>
      <c r="B590">
        <f>IF(IF(AND('Editable assumptions'!B16&lt;=DATE(2027,1,1),DATE(2027,1,1)&lt;=DATE(2027,7,1))="",FALSE,AND('Editable assumptions'!B16&lt;=DATE(2027,1,1),DATE(2027,1,1)&lt;=DATE(2027,7,1))),'Monthly forecast and cash'!F29,"")</f>
      </c>
    </row>
    <row r="591">
      <c r="A591" t="inlineStr" s="21">
        <is>
          <t xml:space="preserve">Calculation</t>
        </is>
      </c>
      <c r="B591">
        <f>IF(IF(AND('Editable assumptions'!B16&lt;=DATE(2027,2,1),DATE(2027,2,1)&lt;=DATE(2027,7,1))="",FALSE,AND('Editable assumptions'!B16&lt;=DATE(2027,2,1),DATE(2027,2,1)&lt;=DATE(2027,7,1))),'Monthly forecast and cash'!G29,"")</f>
      </c>
    </row>
    <row r="592">
      <c r="A592" t="inlineStr" s="21">
        <is>
          <t xml:space="preserve">Calculation</t>
        </is>
      </c>
      <c r="B592">
        <f>IF(IF(AND('Editable assumptions'!B16&lt;=DATE(2027,3,1),DATE(2027,3,1)&lt;=DATE(2027,7,1))="",FALSE,AND('Editable assumptions'!B16&lt;=DATE(2027,3,1),DATE(2027,3,1)&lt;=DATE(2027,7,1))),'Monthly forecast and cash'!H29,"")</f>
      </c>
    </row>
    <row r="593">
      <c r="A593" t="inlineStr" s="21">
        <is>
          <t xml:space="preserve">Calculation</t>
        </is>
      </c>
      <c r="B593">
        <f>IF(IF(AND('Editable assumptions'!B16&lt;=DATE(2027,4,1),DATE(2027,4,1)&lt;=DATE(2027,7,1))="",FALSE,AND('Editable assumptions'!B16&lt;=DATE(2027,4,1),DATE(2027,4,1)&lt;=DATE(2027,7,1))),'Monthly forecast and cash'!I29,"")</f>
      </c>
    </row>
    <row r="594">
      <c r="A594" t="inlineStr" s="21">
        <is>
          <t xml:space="preserve">Calculation</t>
        </is>
      </c>
      <c r="B594">
        <f>IF(IF(AND('Editable assumptions'!B16&lt;=DATE(2027,5,1),DATE(2027,5,1)&lt;=DATE(2027,7,1))="",FALSE,AND('Editable assumptions'!B16&lt;=DATE(2027,5,1),DATE(2027,5,1)&lt;=DATE(2027,7,1))),'Monthly forecast and cash'!J29,"")</f>
      </c>
    </row>
    <row r="595">
      <c r="A595" t="inlineStr" s="21">
        <is>
          <t xml:space="preserve">Calculation</t>
        </is>
      </c>
      <c r="B595">
        <f>IF(IF(AND('Editable assumptions'!B16&lt;=DATE(2027,6,1),DATE(2027,6,1)&lt;=DATE(2027,7,1))="",FALSE,AND('Editable assumptions'!B16&lt;=DATE(2027,6,1),DATE(2027,6,1)&lt;=DATE(2027,7,1))),'Monthly forecast and cash'!K29,"")</f>
      </c>
    </row>
    <row r="596">
      <c r="A596" t="inlineStr" s="21">
        <is>
          <t xml:space="preserve">Calculation</t>
        </is>
      </c>
      <c r="B596">
        <f>IF(IF(AND('Editable assumptions'!B16&lt;=DATE(2027,7,1),DATE(2027,7,1)&lt;=DATE(2027,7,1))="",FALSE,AND('Editable assumptions'!B16&lt;=DATE(2027,7,1),DATE(2027,7,1)&lt;=DATE(2027,7,1))),'Monthly forecast and cash'!L29,"")</f>
      </c>
    </row>
    <row r="597">
      <c r="A597" t="inlineStr" s="21">
        <is>
          <t xml:space="preserve">Calculation</t>
        </is>
      </c>
      <c r="B597">
        <f>IF(IF(AND('Editable assumptions'!B16&lt;=DATE(2027,8,1),DATE(2027,8,1)&lt;=DATE(2027,7,1))="",FALSE,AND('Editable assumptions'!B16&lt;=DATE(2027,8,1),DATE(2027,8,1)&lt;=DATE(2027,7,1))),'Monthly forecast and cash'!M29,"")</f>
      </c>
    </row>
    <row r="598">
      <c r="A598" t="inlineStr" s="21">
        <is>
          <t xml:space="preserve">Calculation</t>
        </is>
      </c>
      <c r="B598">
        <f>IF(IF(AND('Editable assumptions'!B16&lt;=DATE(2027,9,1),DATE(2027,9,1)&lt;=DATE(2027,7,1))="",FALSE,AND('Editable assumptions'!B16&lt;=DATE(2027,9,1),DATE(2027,9,1)&lt;=DATE(2027,7,1))),'Monthly forecast and cash'!N29,"")</f>
      </c>
    </row>
    <row r="599">
      <c r="A599" t="inlineStr" s="21">
        <is>
          <t xml:space="preserve">Calculation</t>
        </is>
      </c>
      <c r="B599">
        <f>IF(IF(AND('Editable assumptions'!B16&lt;=DATE(2027,10,1),DATE(2027,10,1)&lt;=DATE(2027,7,1))="",FALSE,AND('Editable assumptions'!B16&lt;=DATE(2027,10,1),DATE(2027,10,1)&lt;=DATE(2027,7,1))),'Monthly forecast and cash'!O29,"")</f>
      </c>
    </row>
    <row r="600">
      <c r="A600" t="inlineStr" s="21">
        <is>
          <t xml:space="preserve">Calculation</t>
        </is>
      </c>
      <c r="B600">
        <f>IF(IF(AND('Editable assumptions'!B16&lt;=DATE(2027,11,1),DATE(2027,11,1)&lt;=DATE(2027,7,1))="",FALSE,AND('Editable assumptions'!B16&lt;=DATE(2027,11,1),DATE(2027,11,1)&lt;=DATE(2027,7,1))),'Monthly forecast and cash'!P29,"")</f>
      </c>
    </row>
    <row r="601">
      <c r="A601" t="inlineStr" s="21">
        <is>
          <t xml:space="preserve">Calculation</t>
        </is>
      </c>
      <c r="B601">
        <f>IF(IF(AND('Editable assumptions'!B16&lt;=DATE(2027,12,1),DATE(2027,12,1)&lt;=DATE(2027,7,1))="",FALSE,AND('Editable assumptions'!B16&lt;=DATE(2027,12,1),DATE(2027,12,1)&lt;=DATE(2027,7,1))),'Monthly forecast and cash'!Q29,"")</f>
      </c>
    </row>
    <row r="602">
      <c r="A602" t="inlineStr" s="21">
        <is>
          <t xml:space="preserve">Calculation</t>
        </is>
      </c>
      <c r="B602">
        <f>IF(IF(AND('Editable assumptions'!B16&lt;=DATE(2028,1,1),DATE(2028,1,1)&lt;=DATE(2027,7,1))="",FALSE,AND('Editable assumptions'!B16&lt;=DATE(2028,1,1),DATE(2028,1,1)&lt;=DATE(2027,7,1))),'Monthly forecast and cash'!R29,"")</f>
      </c>
    </row>
    <row r="603">
      <c r="A603" t="inlineStr" s="21">
        <is>
          <t xml:space="preserve">Calculation</t>
        </is>
      </c>
      <c r="B603">
        <f>IF(IF(AND('Editable assumptions'!B16&lt;=DATE(2028,2,1),DATE(2028,2,1)&lt;=DATE(2027,7,1))="",FALSE,AND('Editable assumptions'!B16&lt;=DATE(2028,2,1),DATE(2028,2,1)&lt;=DATE(2027,7,1))),'Monthly forecast and cash'!S29,"")</f>
      </c>
    </row>
    <row r="604">
      <c r="A604" t="inlineStr" s="21">
        <is>
          <t xml:space="preserve">Calculation</t>
        </is>
      </c>
      <c r="B604">
        <f>IF(IF(AND('Editable assumptions'!B16&lt;=DATE(2028,3,1),DATE(2028,3,1)&lt;=DATE(2027,7,1))="",FALSE,AND('Editable assumptions'!B16&lt;=DATE(2028,3,1),DATE(2028,3,1)&lt;=DATE(2027,7,1))),'Monthly forecast and cash'!T29,"")</f>
      </c>
    </row>
    <row r="605">
      <c r="A605" t="inlineStr" s="21">
        <is>
          <t xml:space="preserve">Calculation</t>
        </is>
      </c>
      <c r="B605">
        <f>IF(IF(AND('Editable assumptions'!B16&lt;=DATE(2028,4,1),DATE(2028,4,1)&lt;=DATE(2027,7,1))="",FALSE,AND('Editable assumptions'!B16&lt;=DATE(2028,4,1),DATE(2028,4,1)&lt;=DATE(2027,7,1))),'Monthly forecast and cash'!U29,"")</f>
      </c>
    </row>
    <row r="606">
      <c r="A606" t="inlineStr" s="21">
        <is>
          <t xml:space="preserve">Calculation</t>
        </is>
      </c>
      <c r="B606">
        <f>IF(IF(AND('Editable assumptions'!B16&lt;=DATE(2028,5,1),DATE(2028,5,1)&lt;=DATE(2027,7,1))="",FALSE,AND('Editable assumptions'!B16&lt;=DATE(2028,5,1),DATE(2028,5,1)&lt;=DATE(2027,7,1))),'Monthly forecast and cash'!V29,"")</f>
      </c>
    </row>
    <row r="607">
      <c r="A607" t="inlineStr" s="21">
        <is>
          <t xml:space="preserve">Calculation</t>
        </is>
      </c>
      <c r="B607">
        <f>IF(IF(AND('Editable assumptions'!B16&lt;=DATE(2028,6,1),DATE(2028,6,1)&lt;=DATE(2027,7,1))="",FALSE,AND('Editable assumptions'!B16&lt;=DATE(2028,6,1),DATE(2028,6,1)&lt;=DATE(2027,7,1))),'Monthly forecast and cash'!W29,"")</f>
      </c>
    </row>
    <row r="608">
      <c r="A608" t="inlineStr" s="21">
        <is>
          <t xml:space="preserve">Calculation</t>
        </is>
      </c>
      <c r="B608">
        <f>IF(IF(AND('Editable assumptions'!B16&lt;=DATE(2028,7,1),DATE(2028,7,1)&lt;=DATE(2027,7,1))="",FALSE,AND('Editable assumptions'!B16&lt;=DATE(2028,7,1),DATE(2028,7,1)&lt;=DATE(2027,7,1))),'Monthly forecast and cash'!X29,"")</f>
      </c>
    </row>
    <row r="609">
      <c r="A609" t="inlineStr" s="21">
        <is>
          <t xml:space="preserve">Calculation</t>
        </is>
      </c>
      <c r="B609">
        <f>IF(IF(AND('Editable assumptions'!B16&lt;=DATE(2028,8,1),DATE(2028,8,1)&lt;=DATE(2027,7,1))="",FALSE,AND('Editable assumptions'!B16&lt;=DATE(2028,8,1),DATE(2028,8,1)&lt;=DATE(2027,7,1))),'Monthly forecast and cash'!Y29,"")</f>
      </c>
    </row>
    <row r="610">
      <c r="A610" t="inlineStr" s="21">
        <is>
          <t xml:space="preserve">Calculation</t>
        </is>
      </c>
      <c r="B610">
        <f>IF(IF(AND('Editable assumptions'!B16&lt;=DATE(2028,9,1),DATE(2028,9,1)&lt;=DATE(2027,7,1))="",FALSE,AND('Editable assumptions'!B16&lt;=DATE(2028,9,1),DATE(2028,9,1)&lt;=DATE(2027,7,1))),'Monthly forecast and cash'!Z29,"")</f>
      </c>
    </row>
    <row r="611">
      <c r="A611" t="inlineStr" s="21">
        <is>
          <t xml:space="preserve">Calculation</t>
        </is>
      </c>
      <c r="B611">
        <f>IF(IF(AND('Editable assumptions'!B16&lt;=DATE(2026,1,1),DATE(2026,1,1)&lt;=DATE(2027,7,1))="",FALSE,AND('Editable assumptions'!B16&lt;=DATE(2026,1,1),DATE(2026,1,1)&lt;=DATE(2027,7,1))),'Model inputs'!D12,"")</f>
      </c>
    </row>
    <row r="612">
      <c r="A612" t="inlineStr" s="21">
        <is>
          <t xml:space="preserve">Calculation</t>
        </is>
      </c>
      <c r="B612">
        <f>IF(IF(AND('Editable assumptions'!B16&lt;=DATE(2026,2,1),DATE(2026,2,1)&lt;=DATE(2027,7,1))="",FALSE,AND('Editable assumptions'!B16&lt;=DATE(2026,2,1),DATE(2026,2,1)&lt;=DATE(2027,7,1))),'Model inputs'!E12,"")</f>
      </c>
    </row>
    <row r="613">
      <c r="A613" t="inlineStr" s="21">
        <is>
          <t xml:space="preserve">Calculation</t>
        </is>
      </c>
      <c r="B613">
        <f>IF(IF(AND('Editable assumptions'!B16&lt;=DATE(2026,3,1),DATE(2026,3,1)&lt;=DATE(2027,7,1))="",FALSE,AND('Editable assumptions'!B16&lt;=DATE(2026,3,1),DATE(2026,3,1)&lt;=DATE(2027,7,1))),'Model inputs'!F12,"")</f>
      </c>
    </row>
    <row r="614">
      <c r="A614" t="inlineStr" s="21">
        <is>
          <t xml:space="preserve">Calculation</t>
        </is>
      </c>
      <c r="B614">
        <f>IF(IF(AND('Editable assumptions'!B16&lt;=DATE(2026,4,1),DATE(2026,4,1)&lt;=DATE(2027,7,1))="",FALSE,AND('Editable assumptions'!B16&lt;=DATE(2026,4,1),DATE(2026,4,1)&lt;=DATE(2027,7,1))),'Model inputs'!G12,"")</f>
      </c>
    </row>
    <row r="615">
      <c r="A615" t="inlineStr" s="21">
        <is>
          <t xml:space="preserve">Calculation</t>
        </is>
      </c>
      <c r="B615">
        <f>IF(IF(AND('Editable assumptions'!B16&lt;=DATE(2026,5,1),DATE(2026,5,1)&lt;=DATE(2027,7,1))="",FALSE,AND('Editable assumptions'!B16&lt;=DATE(2026,5,1),DATE(2026,5,1)&lt;=DATE(2027,7,1))),'Model inputs'!H12,"")</f>
      </c>
    </row>
    <row r="616">
      <c r="A616" t="inlineStr" s="21">
        <is>
          <t xml:space="preserve">Calculation</t>
        </is>
      </c>
      <c r="B616">
        <f>IF(IF(AND('Editable assumptions'!B16&lt;=DATE(2026,6,1),DATE(2026,6,1)&lt;=DATE(2027,7,1))="",FALSE,AND('Editable assumptions'!B16&lt;=DATE(2026,6,1),DATE(2026,6,1)&lt;=DATE(2027,7,1))),'Model inputs'!I12,"")</f>
      </c>
    </row>
    <row r="617">
      <c r="A617" t="inlineStr" s="21">
        <is>
          <t xml:space="preserve">Calculation</t>
        </is>
      </c>
      <c r="B617">
        <f>IF(IF(AND('Editable assumptions'!B16&lt;=DATE(2026,7,1),DATE(2026,7,1)&lt;=DATE(2027,7,1))="",FALSE,AND('Editable assumptions'!B16&lt;=DATE(2026,7,1),DATE(2026,7,1)&lt;=DATE(2027,7,1))),'Model inputs'!J12,"")</f>
      </c>
    </row>
    <row r="618">
      <c r="A618" t="inlineStr" s="21">
        <is>
          <t xml:space="preserve">Calculation</t>
        </is>
      </c>
      <c r="B618">
        <f>IF(IF(AND('Editable assumptions'!B16&lt;=DATE(2026,8,1),DATE(2026,8,1)&lt;=DATE(2027,7,1))="",FALSE,AND('Editable assumptions'!B16&lt;=DATE(2026,8,1),DATE(2026,8,1)&lt;=DATE(2027,7,1))),'Model inputs'!K12,"")</f>
      </c>
    </row>
    <row r="619">
      <c r="A619" t="inlineStr" s="21">
        <is>
          <t xml:space="preserve">Calculation</t>
        </is>
      </c>
      <c r="B619">
        <f>IF(AND('Model inputs'!B586="",'Model inputs'!B587="",'Model inputs'!B588="",'Model inputs'!B589="",'Model inputs'!B590="",'Model inputs'!B591="",'Model inputs'!B592="",'Model inputs'!B593="",'Model inputs'!B594="",'Model inputs'!B595="",'Model inputs'!B596="",'Model inputs'!B597="",'Model inputs'!B598="",'Model inputs'!B599="",'Model inputs'!B600="",'Model inputs'!B601="",'Model inputs'!B602="",'Model inputs'!B603="",'Model inputs'!B604="",'Model inputs'!B605="",'Model inputs'!B606="",'Model inputs'!B607="",'Model inputs'!B608="",'Model inputs'!B609="",'Model inputs'!B610="",'Model inputs'!B611="",'Model inputs'!B612="",'Model inputs'!B613="",'Model inputs'!B614="",'Model inputs'!B615="",'Model inputs'!B616="",'Model inputs'!B617="",'Model inputs'!B618=""),"",MIN('Model inputs'!B586,'Model inputs'!B587,'Model inputs'!B588,'Model inputs'!B589,'Model inputs'!B590,'Model inputs'!B591,'Model inputs'!B592,'Model inputs'!B593,'Model inputs'!B594,'Model inputs'!B595,'Model inputs'!B596,'Model inputs'!B597,'Model inputs'!B598,'Model inputs'!B599,'Model inputs'!B600,'Model inputs'!B601,'Model inputs'!B602,'Model inputs'!B603,'Model inputs'!B604,'Model inputs'!B605,'Model inputs'!B606,'Model inputs'!B607,'Model inputs'!B608,'Model inputs'!B609,'Model inputs'!B610,'Model inputs'!B611,'Model inputs'!B612,'Model inputs'!B613,'Model inputs'!B614,'Model inputs'!B615,'Model inputs'!B616,'Model inputs'!B617,'Model inputs'!B618))</f>
      </c>
    </row>
    <row r="620">
      <c r="A620" t="inlineStr" s="21">
        <is>
          <t xml:space="preserve">Calculation</t>
        </is>
      </c>
      <c r="B620">
        <f>IF(IF(AND('Editable assumptions'!B16&lt;=DATE(2026,9,1),DATE(2026,9,1)&lt;=DATE(2027,8,1))="",FALSE,AND('Editable assumptions'!B16&lt;=DATE(2026,9,1),DATE(2026,9,1)&lt;=DATE(2027,8,1))),'Monthly forecast and cash'!B29,"")</f>
      </c>
    </row>
    <row r="621">
      <c r="A621" t="inlineStr" s="21">
        <is>
          <t xml:space="preserve">Calculation</t>
        </is>
      </c>
      <c r="B621">
        <f>IF(IF(AND('Editable assumptions'!B16&lt;=DATE(2026,10,1),DATE(2026,10,1)&lt;=DATE(2027,8,1))="",FALSE,AND('Editable assumptions'!B16&lt;=DATE(2026,10,1),DATE(2026,10,1)&lt;=DATE(2027,8,1))),'Monthly forecast and cash'!C29,"")</f>
      </c>
    </row>
    <row r="622">
      <c r="A622" t="inlineStr" s="21">
        <is>
          <t xml:space="preserve">Calculation</t>
        </is>
      </c>
      <c r="B622">
        <f>IF(IF(AND('Editable assumptions'!B16&lt;=DATE(2026,11,1),DATE(2026,11,1)&lt;=DATE(2027,8,1))="",FALSE,AND('Editable assumptions'!B16&lt;=DATE(2026,11,1),DATE(2026,11,1)&lt;=DATE(2027,8,1))),'Monthly forecast and cash'!D29,"")</f>
      </c>
    </row>
    <row r="623">
      <c r="A623" t="inlineStr" s="21">
        <is>
          <t xml:space="preserve">Calculation</t>
        </is>
      </c>
      <c r="B623">
        <f>IF(IF(AND('Editable assumptions'!B16&lt;=DATE(2026,12,1),DATE(2026,12,1)&lt;=DATE(2027,8,1))="",FALSE,AND('Editable assumptions'!B16&lt;=DATE(2026,12,1),DATE(2026,12,1)&lt;=DATE(2027,8,1))),'Monthly forecast and cash'!E29,"")</f>
      </c>
    </row>
    <row r="624">
      <c r="A624" t="inlineStr" s="21">
        <is>
          <t xml:space="preserve">Calculation</t>
        </is>
      </c>
      <c r="B624">
        <f>IF(IF(AND('Editable assumptions'!B16&lt;=DATE(2027,1,1),DATE(2027,1,1)&lt;=DATE(2027,8,1))="",FALSE,AND('Editable assumptions'!B16&lt;=DATE(2027,1,1),DATE(2027,1,1)&lt;=DATE(2027,8,1))),'Monthly forecast and cash'!F29,"")</f>
      </c>
    </row>
    <row r="625">
      <c r="A625" t="inlineStr" s="21">
        <is>
          <t xml:space="preserve">Calculation</t>
        </is>
      </c>
      <c r="B625">
        <f>IF(IF(AND('Editable assumptions'!B16&lt;=DATE(2027,2,1),DATE(2027,2,1)&lt;=DATE(2027,8,1))="",FALSE,AND('Editable assumptions'!B16&lt;=DATE(2027,2,1),DATE(2027,2,1)&lt;=DATE(2027,8,1))),'Monthly forecast and cash'!G29,"")</f>
      </c>
    </row>
    <row r="626">
      <c r="A626" t="inlineStr" s="21">
        <is>
          <t xml:space="preserve">Calculation</t>
        </is>
      </c>
      <c r="B626">
        <f>IF(IF(AND('Editable assumptions'!B16&lt;=DATE(2027,3,1),DATE(2027,3,1)&lt;=DATE(2027,8,1))="",FALSE,AND('Editable assumptions'!B16&lt;=DATE(2027,3,1),DATE(2027,3,1)&lt;=DATE(2027,8,1))),'Monthly forecast and cash'!H29,"")</f>
      </c>
    </row>
    <row r="627">
      <c r="A627" t="inlineStr" s="21">
        <is>
          <t xml:space="preserve">Calculation</t>
        </is>
      </c>
      <c r="B627">
        <f>IF(IF(AND('Editable assumptions'!B16&lt;=DATE(2027,4,1),DATE(2027,4,1)&lt;=DATE(2027,8,1))="",FALSE,AND('Editable assumptions'!B16&lt;=DATE(2027,4,1),DATE(2027,4,1)&lt;=DATE(2027,8,1))),'Monthly forecast and cash'!I29,"")</f>
      </c>
    </row>
    <row r="628">
      <c r="A628" t="inlineStr" s="21">
        <is>
          <t xml:space="preserve">Calculation</t>
        </is>
      </c>
      <c r="B628">
        <f>IF(IF(AND('Editable assumptions'!B16&lt;=DATE(2027,5,1),DATE(2027,5,1)&lt;=DATE(2027,8,1))="",FALSE,AND('Editable assumptions'!B16&lt;=DATE(2027,5,1),DATE(2027,5,1)&lt;=DATE(2027,8,1))),'Monthly forecast and cash'!J29,"")</f>
      </c>
    </row>
    <row r="629">
      <c r="A629" t="inlineStr" s="21">
        <is>
          <t xml:space="preserve">Calculation</t>
        </is>
      </c>
      <c r="B629">
        <f>IF(IF(AND('Editable assumptions'!B16&lt;=DATE(2027,6,1),DATE(2027,6,1)&lt;=DATE(2027,8,1))="",FALSE,AND('Editable assumptions'!B16&lt;=DATE(2027,6,1),DATE(2027,6,1)&lt;=DATE(2027,8,1))),'Monthly forecast and cash'!K29,"")</f>
      </c>
    </row>
    <row r="630">
      <c r="A630" t="inlineStr" s="21">
        <is>
          <t xml:space="preserve">Calculation</t>
        </is>
      </c>
      <c r="B630">
        <f>IF(IF(AND('Editable assumptions'!B16&lt;=DATE(2027,7,1),DATE(2027,7,1)&lt;=DATE(2027,8,1))="",FALSE,AND('Editable assumptions'!B16&lt;=DATE(2027,7,1),DATE(2027,7,1)&lt;=DATE(2027,8,1))),'Monthly forecast and cash'!L29,"")</f>
      </c>
    </row>
    <row r="631">
      <c r="A631" t="inlineStr" s="21">
        <is>
          <t xml:space="preserve">Calculation</t>
        </is>
      </c>
      <c r="B631">
        <f>IF(IF(AND('Editable assumptions'!B16&lt;=DATE(2027,8,1),DATE(2027,8,1)&lt;=DATE(2027,8,1))="",FALSE,AND('Editable assumptions'!B16&lt;=DATE(2027,8,1),DATE(2027,8,1)&lt;=DATE(2027,8,1))),'Monthly forecast and cash'!M29,"")</f>
      </c>
    </row>
    <row r="632">
      <c r="A632" t="inlineStr" s="21">
        <is>
          <t xml:space="preserve">Calculation</t>
        </is>
      </c>
      <c r="B632">
        <f>IF(IF(AND('Editable assumptions'!B16&lt;=DATE(2027,9,1),DATE(2027,9,1)&lt;=DATE(2027,8,1))="",FALSE,AND('Editable assumptions'!B16&lt;=DATE(2027,9,1),DATE(2027,9,1)&lt;=DATE(2027,8,1))),'Monthly forecast and cash'!N29,"")</f>
      </c>
    </row>
    <row r="633">
      <c r="A633" t="inlineStr" s="21">
        <is>
          <t xml:space="preserve">Calculation</t>
        </is>
      </c>
      <c r="B633">
        <f>IF(IF(AND('Editable assumptions'!B16&lt;=DATE(2027,10,1),DATE(2027,10,1)&lt;=DATE(2027,8,1))="",FALSE,AND('Editable assumptions'!B16&lt;=DATE(2027,10,1),DATE(2027,10,1)&lt;=DATE(2027,8,1))),'Monthly forecast and cash'!O29,"")</f>
      </c>
    </row>
    <row r="634">
      <c r="A634" t="inlineStr" s="21">
        <is>
          <t xml:space="preserve">Calculation</t>
        </is>
      </c>
      <c r="B634">
        <f>IF(IF(AND('Editable assumptions'!B16&lt;=DATE(2027,11,1),DATE(2027,11,1)&lt;=DATE(2027,8,1))="",FALSE,AND('Editable assumptions'!B16&lt;=DATE(2027,11,1),DATE(2027,11,1)&lt;=DATE(2027,8,1))),'Monthly forecast and cash'!P29,"")</f>
      </c>
    </row>
    <row r="635">
      <c r="A635" t="inlineStr" s="21">
        <is>
          <t xml:space="preserve">Calculation</t>
        </is>
      </c>
      <c r="B635">
        <f>IF(IF(AND('Editable assumptions'!B16&lt;=DATE(2027,12,1),DATE(2027,12,1)&lt;=DATE(2027,8,1))="",FALSE,AND('Editable assumptions'!B16&lt;=DATE(2027,12,1),DATE(2027,12,1)&lt;=DATE(2027,8,1))),'Monthly forecast and cash'!Q29,"")</f>
      </c>
    </row>
    <row r="636">
      <c r="A636" t="inlineStr" s="21">
        <is>
          <t xml:space="preserve">Calculation</t>
        </is>
      </c>
      <c r="B636">
        <f>IF(IF(AND('Editable assumptions'!B16&lt;=DATE(2028,1,1),DATE(2028,1,1)&lt;=DATE(2027,8,1))="",FALSE,AND('Editable assumptions'!B16&lt;=DATE(2028,1,1),DATE(2028,1,1)&lt;=DATE(2027,8,1))),'Monthly forecast and cash'!R29,"")</f>
      </c>
    </row>
    <row r="637">
      <c r="A637" t="inlineStr" s="21">
        <is>
          <t xml:space="preserve">Calculation</t>
        </is>
      </c>
      <c r="B637">
        <f>IF(IF(AND('Editable assumptions'!B16&lt;=DATE(2028,2,1),DATE(2028,2,1)&lt;=DATE(2027,8,1))="",FALSE,AND('Editable assumptions'!B16&lt;=DATE(2028,2,1),DATE(2028,2,1)&lt;=DATE(2027,8,1))),'Monthly forecast and cash'!S29,"")</f>
      </c>
    </row>
    <row r="638">
      <c r="A638" t="inlineStr" s="21">
        <is>
          <t xml:space="preserve">Calculation</t>
        </is>
      </c>
      <c r="B638">
        <f>IF(IF(AND('Editable assumptions'!B16&lt;=DATE(2028,3,1),DATE(2028,3,1)&lt;=DATE(2027,8,1))="",FALSE,AND('Editable assumptions'!B16&lt;=DATE(2028,3,1),DATE(2028,3,1)&lt;=DATE(2027,8,1))),'Monthly forecast and cash'!T29,"")</f>
      </c>
    </row>
    <row r="639">
      <c r="A639" t="inlineStr" s="21">
        <is>
          <t xml:space="preserve">Calculation</t>
        </is>
      </c>
      <c r="B639">
        <f>IF(IF(AND('Editable assumptions'!B16&lt;=DATE(2028,4,1),DATE(2028,4,1)&lt;=DATE(2027,8,1))="",FALSE,AND('Editable assumptions'!B16&lt;=DATE(2028,4,1),DATE(2028,4,1)&lt;=DATE(2027,8,1))),'Monthly forecast and cash'!U29,"")</f>
      </c>
    </row>
    <row r="640">
      <c r="A640" t="inlineStr" s="21">
        <is>
          <t xml:space="preserve">Calculation</t>
        </is>
      </c>
      <c r="B640">
        <f>IF(IF(AND('Editable assumptions'!B16&lt;=DATE(2028,5,1),DATE(2028,5,1)&lt;=DATE(2027,8,1))="",FALSE,AND('Editable assumptions'!B16&lt;=DATE(2028,5,1),DATE(2028,5,1)&lt;=DATE(2027,8,1))),'Monthly forecast and cash'!V29,"")</f>
      </c>
    </row>
    <row r="641">
      <c r="A641" t="inlineStr" s="21">
        <is>
          <t xml:space="preserve">Calculation</t>
        </is>
      </c>
      <c r="B641">
        <f>IF(IF(AND('Editable assumptions'!B16&lt;=DATE(2028,6,1),DATE(2028,6,1)&lt;=DATE(2027,8,1))="",FALSE,AND('Editable assumptions'!B16&lt;=DATE(2028,6,1),DATE(2028,6,1)&lt;=DATE(2027,8,1))),'Monthly forecast and cash'!W29,"")</f>
      </c>
    </row>
    <row r="642">
      <c r="A642" t="inlineStr" s="21">
        <is>
          <t xml:space="preserve">Calculation</t>
        </is>
      </c>
      <c r="B642">
        <f>IF(IF(AND('Editable assumptions'!B16&lt;=DATE(2028,7,1),DATE(2028,7,1)&lt;=DATE(2027,8,1))="",FALSE,AND('Editable assumptions'!B16&lt;=DATE(2028,7,1),DATE(2028,7,1)&lt;=DATE(2027,8,1))),'Monthly forecast and cash'!X29,"")</f>
      </c>
    </row>
    <row r="643">
      <c r="A643" t="inlineStr" s="21">
        <is>
          <t xml:space="preserve">Calculation</t>
        </is>
      </c>
      <c r="B643">
        <f>IF(IF(AND('Editable assumptions'!B16&lt;=DATE(2028,8,1),DATE(2028,8,1)&lt;=DATE(2027,8,1))="",FALSE,AND('Editable assumptions'!B16&lt;=DATE(2028,8,1),DATE(2028,8,1)&lt;=DATE(2027,8,1))),'Monthly forecast and cash'!Y29,"")</f>
      </c>
    </row>
    <row r="644">
      <c r="A644" t="inlineStr" s="21">
        <is>
          <t xml:space="preserve">Calculation</t>
        </is>
      </c>
      <c r="B644">
        <f>IF(IF(AND('Editable assumptions'!B16&lt;=DATE(2028,9,1),DATE(2028,9,1)&lt;=DATE(2027,8,1))="",FALSE,AND('Editable assumptions'!B16&lt;=DATE(2028,9,1),DATE(2028,9,1)&lt;=DATE(2027,8,1))),'Monthly forecast and cash'!Z29,"")</f>
      </c>
    </row>
    <row r="645">
      <c r="A645" t="inlineStr" s="21">
        <is>
          <t xml:space="preserve">Calculation</t>
        </is>
      </c>
      <c r="B645">
        <f>IF(IF(AND('Editable assumptions'!B16&lt;=DATE(2026,1,1),DATE(2026,1,1)&lt;=DATE(2027,8,1))="",FALSE,AND('Editable assumptions'!B16&lt;=DATE(2026,1,1),DATE(2026,1,1)&lt;=DATE(2027,8,1))),'Model inputs'!D12,"")</f>
      </c>
    </row>
    <row r="646">
      <c r="A646" t="inlineStr" s="21">
        <is>
          <t xml:space="preserve">Calculation</t>
        </is>
      </c>
      <c r="B646">
        <f>IF(IF(AND('Editable assumptions'!B16&lt;=DATE(2026,2,1),DATE(2026,2,1)&lt;=DATE(2027,8,1))="",FALSE,AND('Editable assumptions'!B16&lt;=DATE(2026,2,1),DATE(2026,2,1)&lt;=DATE(2027,8,1))),'Model inputs'!E12,"")</f>
      </c>
    </row>
    <row r="647">
      <c r="A647" t="inlineStr" s="21">
        <is>
          <t xml:space="preserve">Calculation</t>
        </is>
      </c>
      <c r="B647">
        <f>IF(IF(AND('Editable assumptions'!B16&lt;=DATE(2026,3,1),DATE(2026,3,1)&lt;=DATE(2027,8,1))="",FALSE,AND('Editable assumptions'!B16&lt;=DATE(2026,3,1),DATE(2026,3,1)&lt;=DATE(2027,8,1))),'Model inputs'!F12,"")</f>
      </c>
    </row>
    <row r="648">
      <c r="A648" t="inlineStr" s="21">
        <is>
          <t xml:space="preserve">Calculation</t>
        </is>
      </c>
      <c r="B648">
        <f>IF(IF(AND('Editable assumptions'!B16&lt;=DATE(2026,4,1),DATE(2026,4,1)&lt;=DATE(2027,8,1))="",FALSE,AND('Editable assumptions'!B16&lt;=DATE(2026,4,1),DATE(2026,4,1)&lt;=DATE(2027,8,1))),'Model inputs'!G12,"")</f>
      </c>
    </row>
    <row r="649">
      <c r="A649" t="inlineStr" s="21">
        <is>
          <t xml:space="preserve">Calculation</t>
        </is>
      </c>
      <c r="B649">
        <f>IF(IF(AND('Editable assumptions'!B16&lt;=DATE(2026,5,1),DATE(2026,5,1)&lt;=DATE(2027,8,1))="",FALSE,AND('Editable assumptions'!B16&lt;=DATE(2026,5,1),DATE(2026,5,1)&lt;=DATE(2027,8,1))),'Model inputs'!H12,"")</f>
      </c>
    </row>
    <row r="650">
      <c r="A650" t="inlineStr" s="21">
        <is>
          <t xml:space="preserve">Calculation</t>
        </is>
      </c>
      <c r="B650">
        <f>IF(IF(AND('Editable assumptions'!B16&lt;=DATE(2026,6,1),DATE(2026,6,1)&lt;=DATE(2027,8,1))="",FALSE,AND('Editable assumptions'!B16&lt;=DATE(2026,6,1),DATE(2026,6,1)&lt;=DATE(2027,8,1))),'Model inputs'!I12,"")</f>
      </c>
    </row>
    <row r="651">
      <c r="A651" t="inlineStr" s="21">
        <is>
          <t xml:space="preserve">Calculation</t>
        </is>
      </c>
      <c r="B651">
        <f>IF(IF(AND('Editable assumptions'!B16&lt;=DATE(2026,7,1),DATE(2026,7,1)&lt;=DATE(2027,8,1))="",FALSE,AND('Editable assumptions'!B16&lt;=DATE(2026,7,1),DATE(2026,7,1)&lt;=DATE(2027,8,1))),'Model inputs'!J12,"")</f>
      </c>
    </row>
    <row r="652">
      <c r="A652" t="inlineStr" s="21">
        <is>
          <t xml:space="preserve">Calculation</t>
        </is>
      </c>
      <c r="B652">
        <f>IF(IF(AND('Editable assumptions'!B16&lt;=DATE(2026,8,1),DATE(2026,8,1)&lt;=DATE(2027,8,1))="",FALSE,AND('Editable assumptions'!B16&lt;=DATE(2026,8,1),DATE(2026,8,1)&lt;=DATE(2027,8,1))),'Model inputs'!K12,"")</f>
      </c>
    </row>
    <row r="653">
      <c r="A653" t="inlineStr" s="21">
        <is>
          <t xml:space="preserve">Calculation</t>
        </is>
      </c>
      <c r="B653">
        <f>IF(AND('Model inputs'!B620="",'Model inputs'!B621="",'Model inputs'!B622="",'Model inputs'!B623="",'Model inputs'!B624="",'Model inputs'!B625="",'Model inputs'!B626="",'Model inputs'!B627="",'Model inputs'!B628="",'Model inputs'!B629="",'Model inputs'!B630="",'Model inputs'!B631="",'Model inputs'!B632="",'Model inputs'!B633="",'Model inputs'!B634="",'Model inputs'!B635="",'Model inputs'!B636="",'Model inputs'!B637="",'Model inputs'!B638="",'Model inputs'!B639="",'Model inputs'!B640="",'Model inputs'!B641="",'Model inputs'!B642="",'Model inputs'!B643="",'Model inputs'!B644="",'Model inputs'!B645="",'Model inputs'!B646="",'Model inputs'!B647="",'Model inputs'!B648="",'Model inputs'!B649="",'Model inputs'!B650="",'Model inputs'!B651="",'Model inputs'!B652=""),"",MIN('Model inputs'!B620,'Model inputs'!B621,'Model inputs'!B622,'Model inputs'!B623,'Model inputs'!B624,'Model inputs'!B625,'Model inputs'!B626,'Model inputs'!B627,'Model inputs'!B628,'Model inputs'!B629,'Model inputs'!B630,'Model inputs'!B631,'Model inputs'!B632,'Model inputs'!B633,'Model inputs'!B634,'Model inputs'!B635,'Model inputs'!B636,'Model inputs'!B637,'Model inputs'!B638,'Model inputs'!B639,'Model inputs'!B640,'Model inputs'!B641,'Model inputs'!B642,'Model inputs'!B643,'Model inputs'!B644,'Model inputs'!B645,'Model inputs'!B646,'Model inputs'!B647,'Model inputs'!B648,'Model inputs'!B649,'Model inputs'!B650,'Model inputs'!B651,'Model inputs'!B652))</f>
      </c>
    </row>
    <row r="654">
      <c r="A654" t="inlineStr" s="21">
        <is>
          <t xml:space="preserve">Calculation</t>
        </is>
      </c>
      <c r="B654">
        <f>IF(IF(AND('Editable assumptions'!B16&lt;=DATE(2026,9,1),DATE(2026,9,1)&lt;=DATE(2027,9,1))="",FALSE,AND('Editable assumptions'!B16&lt;=DATE(2026,9,1),DATE(2026,9,1)&lt;=DATE(2027,9,1))),'Monthly forecast and cash'!B29,"")</f>
      </c>
    </row>
    <row r="655">
      <c r="A655" t="inlineStr" s="21">
        <is>
          <t xml:space="preserve">Calculation</t>
        </is>
      </c>
      <c r="B655">
        <f>IF(IF(AND('Editable assumptions'!B16&lt;=DATE(2026,10,1),DATE(2026,10,1)&lt;=DATE(2027,9,1))="",FALSE,AND('Editable assumptions'!B16&lt;=DATE(2026,10,1),DATE(2026,10,1)&lt;=DATE(2027,9,1))),'Monthly forecast and cash'!C29,"")</f>
      </c>
    </row>
    <row r="656">
      <c r="A656" t="inlineStr" s="21">
        <is>
          <t xml:space="preserve">Calculation</t>
        </is>
      </c>
      <c r="B656">
        <f>IF(IF(AND('Editable assumptions'!B16&lt;=DATE(2026,11,1),DATE(2026,11,1)&lt;=DATE(2027,9,1))="",FALSE,AND('Editable assumptions'!B16&lt;=DATE(2026,11,1),DATE(2026,11,1)&lt;=DATE(2027,9,1))),'Monthly forecast and cash'!D29,"")</f>
      </c>
    </row>
    <row r="657">
      <c r="A657" t="inlineStr" s="21">
        <is>
          <t xml:space="preserve">Calculation</t>
        </is>
      </c>
      <c r="B657">
        <f>IF(IF(AND('Editable assumptions'!B16&lt;=DATE(2026,12,1),DATE(2026,12,1)&lt;=DATE(2027,9,1))="",FALSE,AND('Editable assumptions'!B16&lt;=DATE(2026,12,1),DATE(2026,12,1)&lt;=DATE(2027,9,1))),'Monthly forecast and cash'!E29,"")</f>
      </c>
    </row>
    <row r="658">
      <c r="A658" t="inlineStr" s="21">
        <is>
          <t xml:space="preserve">Calculation</t>
        </is>
      </c>
      <c r="B658">
        <f>IF(IF(AND('Editable assumptions'!B16&lt;=DATE(2027,1,1),DATE(2027,1,1)&lt;=DATE(2027,9,1))="",FALSE,AND('Editable assumptions'!B16&lt;=DATE(2027,1,1),DATE(2027,1,1)&lt;=DATE(2027,9,1))),'Monthly forecast and cash'!F29,"")</f>
      </c>
    </row>
    <row r="659">
      <c r="A659" t="inlineStr" s="21">
        <is>
          <t xml:space="preserve">Calculation</t>
        </is>
      </c>
      <c r="B659">
        <f>IF(IF(AND('Editable assumptions'!B16&lt;=DATE(2027,2,1),DATE(2027,2,1)&lt;=DATE(2027,9,1))="",FALSE,AND('Editable assumptions'!B16&lt;=DATE(2027,2,1),DATE(2027,2,1)&lt;=DATE(2027,9,1))),'Monthly forecast and cash'!G29,"")</f>
      </c>
    </row>
    <row r="660">
      <c r="A660" t="inlineStr" s="21">
        <is>
          <t xml:space="preserve">Calculation</t>
        </is>
      </c>
      <c r="B660">
        <f>IF(IF(AND('Editable assumptions'!B16&lt;=DATE(2027,3,1),DATE(2027,3,1)&lt;=DATE(2027,9,1))="",FALSE,AND('Editable assumptions'!B16&lt;=DATE(2027,3,1),DATE(2027,3,1)&lt;=DATE(2027,9,1))),'Monthly forecast and cash'!H29,"")</f>
      </c>
    </row>
    <row r="661">
      <c r="A661" t="inlineStr" s="21">
        <is>
          <t xml:space="preserve">Calculation</t>
        </is>
      </c>
      <c r="B661">
        <f>IF(IF(AND('Editable assumptions'!B16&lt;=DATE(2027,4,1),DATE(2027,4,1)&lt;=DATE(2027,9,1))="",FALSE,AND('Editable assumptions'!B16&lt;=DATE(2027,4,1),DATE(2027,4,1)&lt;=DATE(2027,9,1))),'Monthly forecast and cash'!I29,"")</f>
      </c>
    </row>
    <row r="662">
      <c r="A662" t="inlineStr" s="21">
        <is>
          <t xml:space="preserve">Calculation</t>
        </is>
      </c>
      <c r="B662">
        <f>IF(IF(AND('Editable assumptions'!B16&lt;=DATE(2027,5,1),DATE(2027,5,1)&lt;=DATE(2027,9,1))="",FALSE,AND('Editable assumptions'!B16&lt;=DATE(2027,5,1),DATE(2027,5,1)&lt;=DATE(2027,9,1))),'Monthly forecast and cash'!J29,"")</f>
      </c>
    </row>
    <row r="663">
      <c r="A663" t="inlineStr" s="21">
        <is>
          <t xml:space="preserve">Calculation</t>
        </is>
      </c>
      <c r="B663">
        <f>IF(IF(AND('Editable assumptions'!B16&lt;=DATE(2027,6,1),DATE(2027,6,1)&lt;=DATE(2027,9,1))="",FALSE,AND('Editable assumptions'!B16&lt;=DATE(2027,6,1),DATE(2027,6,1)&lt;=DATE(2027,9,1))),'Monthly forecast and cash'!K29,"")</f>
      </c>
    </row>
    <row r="664">
      <c r="A664" t="inlineStr" s="21">
        <is>
          <t xml:space="preserve">Calculation</t>
        </is>
      </c>
      <c r="B664">
        <f>IF(IF(AND('Editable assumptions'!B16&lt;=DATE(2027,7,1),DATE(2027,7,1)&lt;=DATE(2027,9,1))="",FALSE,AND('Editable assumptions'!B16&lt;=DATE(2027,7,1),DATE(2027,7,1)&lt;=DATE(2027,9,1))),'Monthly forecast and cash'!L29,"")</f>
      </c>
    </row>
    <row r="665">
      <c r="A665" t="inlineStr" s="21">
        <is>
          <t xml:space="preserve">Calculation</t>
        </is>
      </c>
      <c r="B665">
        <f>IF(IF(AND('Editable assumptions'!B16&lt;=DATE(2027,8,1),DATE(2027,8,1)&lt;=DATE(2027,9,1))="",FALSE,AND('Editable assumptions'!B16&lt;=DATE(2027,8,1),DATE(2027,8,1)&lt;=DATE(2027,9,1))),'Monthly forecast and cash'!M29,"")</f>
      </c>
    </row>
    <row r="666">
      <c r="A666" t="inlineStr" s="21">
        <is>
          <t xml:space="preserve">Calculation</t>
        </is>
      </c>
      <c r="B666">
        <f>IF(IF(AND('Editable assumptions'!B16&lt;=DATE(2027,9,1),DATE(2027,9,1)&lt;=DATE(2027,9,1))="",FALSE,AND('Editable assumptions'!B16&lt;=DATE(2027,9,1),DATE(2027,9,1)&lt;=DATE(2027,9,1))),'Monthly forecast and cash'!N29,"")</f>
      </c>
    </row>
    <row r="667">
      <c r="A667" t="inlineStr" s="21">
        <is>
          <t xml:space="preserve">Calculation</t>
        </is>
      </c>
      <c r="B667">
        <f>IF(IF(AND('Editable assumptions'!B16&lt;=DATE(2027,10,1),DATE(2027,10,1)&lt;=DATE(2027,9,1))="",FALSE,AND('Editable assumptions'!B16&lt;=DATE(2027,10,1),DATE(2027,10,1)&lt;=DATE(2027,9,1))),'Monthly forecast and cash'!O29,"")</f>
      </c>
    </row>
    <row r="668">
      <c r="A668" t="inlineStr" s="21">
        <is>
          <t xml:space="preserve">Calculation</t>
        </is>
      </c>
      <c r="B668">
        <f>IF(IF(AND('Editable assumptions'!B16&lt;=DATE(2027,11,1),DATE(2027,11,1)&lt;=DATE(2027,9,1))="",FALSE,AND('Editable assumptions'!B16&lt;=DATE(2027,11,1),DATE(2027,11,1)&lt;=DATE(2027,9,1))),'Monthly forecast and cash'!P29,"")</f>
      </c>
    </row>
    <row r="669">
      <c r="A669" t="inlineStr" s="21">
        <is>
          <t xml:space="preserve">Calculation</t>
        </is>
      </c>
      <c r="B669">
        <f>IF(IF(AND('Editable assumptions'!B16&lt;=DATE(2027,12,1),DATE(2027,12,1)&lt;=DATE(2027,9,1))="",FALSE,AND('Editable assumptions'!B16&lt;=DATE(2027,12,1),DATE(2027,12,1)&lt;=DATE(2027,9,1))),'Monthly forecast and cash'!Q29,"")</f>
      </c>
    </row>
    <row r="670">
      <c r="A670" t="inlineStr" s="21">
        <is>
          <t xml:space="preserve">Calculation</t>
        </is>
      </c>
      <c r="B670">
        <f>IF(IF(AND('Editable assumptions'!B16&lt;=DATE(2028,1,1),DATE(2028,1,1)&lt;=DATE(2027,9,1))="",FALSE,AND('Editable assumptions'!B16&lt;=DATE(2028,1,1),DATE(2028,1,1)&lt;=DATE(2027,9,1))),'Monthly forecast and cash'!R29,"")</f>
      </c>
    </row>
    <row r="671">
      <c r="A671" t="inlineStr" s="21">
        <is>
          <t xml:space="preserve">Calculation</t>
        </is>
      </c>
      <c r="B671">
        <f>IF(IF(AND('Editable assumptions'!B16&lt;=DATE(2028,2,1),DATE(2028,2,1)&lt;=DATE(2027,9,1))="",FALSE,AND('Editable assumptions'!B16&lt;=DATE(2028,2,1),DATE(2028,2,1)&lt;=DATE(2027,9,1))),'Monthly forecast and cash'!S29,"")</f>
      </c>
    </row>
    <row r="672">
      <c r="A672" t="inlineStr" s="21">
        <is>
          <t xml:space="preserve">Calculation</t>
        </is>
      </c>
      <c r="B672">
        <f>IF(IF(AND('Editable assumptions'!B16&lt;=DATE(2028,3,1),DATE(2028,3,1)&lt;=DATE(2027,9,1))="",FALSE,AND('Editable assumptions'!B16&lt;=DATE(2028,3,1),DATE(2028,3,1)&lt;=DATE(2027,9,1))),'Monthly forecast and cash'!T29,"")</f>
      </c>
    </row>
    <row r="673">
      <c r="A673" t="inlineStr" s="21">
        <is>
          <t xml:space="preserve">Calculation</t>
        </is>
      </c>
      <c r="B673">
        <f>IF(IF(AND('Editable assumptions'!B16&lt;=DATE(2028,4,1),DATE(2028,4,1)&lt;=DATE(2027,9,1))="",FALSE,AND('Editable assumptions'!B16&lt;=DATE(2028,4,1),DATE(2028,4,1)&lt;=DATE(2027,9,1))),'Monthly forecast and cash'!U29,"")</f>
      </c>
    </row>
    <row r="674">
      <c r="A674" t="inlineStr" s="21">
        <is>
          <t xml:space="preserve">Calculation</t>
        </is>
      </c>
      <c r="B674">
        <f>IF(IF(AND('Editable assumptions'!B16&lt;=DATE(2028,5,1),DATE(2028,5,1)&lt;=DATE(2027,9,1))="",FALSE,AND('Editable assumptions'!B16&lt;=DATE(2028,5,1),DATE(2028,5,1)&lt;=DATE(2027,9,1))),'Monthly forecast and cash'!V29,"")</f>
      </c>
    </row>
    <row r="675">
      <c r="A675" t="inlineStr" s="21">
        <is>
          <t xml:space="preserve">Calculation</t>
        </is>
      </c>
      <c r="B675">
        <f>IF(IF(AND('Editable assumptions'!B16&lt;=DATE(2028,6,1),DATE(2028,6,1)&lt;=DATE(2027,9,1))="",FALSE,AND('Editable assumptions'!B16&lt;=DATE(2028,6,1),DATE(2028,6,1)&lt;=DATE(2027,9,1))),'Monthly forecast and cash'!W29,"")</f>
      </c>
    </row>
    <row r="676">
      <c r="A676" t="inlineStr" s="21">
        <is>
          <t xml:space="preserve">Calculation</t>
        </is>
      </c>
      <c r="B676">
        <f>IF(IF(AND('Editable assumptions'!B16&lt;=DATE(2028,7,1),DATE(2028,7,1)&lt;=DATE(2027,9,1))="",FALSE,AND('Editable assumptions'!B16&lt;=DATE(2028,7,1),DATE(2028,7,1)&lt;=DATE(2027,9,1))),'Monthly forecast and cash'!X29,"")</f>
      </c>
    </row>
    <row r="677">
      <c r="A677" t="inlineStr" s="21">
        <is>
          <t xml:space="preserve">Calculation</t>
        </is>
      </c>
      <c r="B677">
        <f>IF(IF(AND('Editable assumptions'!B16&lt;=DATE(2028,8,1),DATE(2028,8,1)&lt;=DATE(2027,9,1))="",FALSE,AND('Editable assumptions'!B16&lt;=DATE(2028,8,1),DATE(2028,8,1)&lt;=DATE(2027,9,1))),'Monthly forecast and cash'!Y29,"")</f>
      </c>
    </row>
    <row r="678">
      <c r="A678" t="inlineStr" s="21">
        <is>
          <t xml:space="preserve">Calculation</t>
        </is>
      </c>
      <c r="B678">
        <f>IF(IF(AND('Editable assumptions'!B16&lt;=DATE(2028,9,1),DATE(2028,9,1)&lt;=DATE(2027,9,1))="",FALSE,AND('Editable assumptions'!B16&lt;=DATE(2028,9,1),DATE(2028,9,1)&lt;=DATE(2027,9,1))),'Monthly forecast and cash'!Z29,"")</f>
      </c>
    </row>
    <row r="679">
      <c r="A679" t="inlineStr" s="21">
        <is>
          <t xml:space="preserve">Calculation</t>
        </is>
      </c>
      <c r="B679">
        <f>IF(IF(AND('Editable assumptions'!B16&lt;=DATE(2026,1,1),DATE(2026,1,1)&lt;=DATE(2027,9,1))="",FALSE,AND('Editable assumptions'!B16&lt;=DATE(2026,1,1),DATE(2026,1,1)&lt;=DATE(2027,9,1))),'Model inputs'!D12,"")</f>
      </c>
    </row>
    <row r="680">
      <c r="A680" t="inlineStr" s="21">
        <is>
          <t xml:space="preserve">Calculation</t>
        </is>
      </c>
      <c r="B680">
        <f>IF(IF(AND('Editable assumptions'!B16&lt;=DATE(2026,2,1),DATE(2026,2,1)&lt;=DATE(2027,9,1))="",FALSE,AND('Editable assumptions'!B16&lt;=DATE(2026,2,1),DATE(2026,2,1)&lt;=DATE(2027,9,1))),'Model inputs'!E12,"")</f>
      </c>
    </row>
    <row r="681">
      <c r="A681" t="inlineStr" s="21">
        <is>
          <t xml:space="preserve">Calculation</t>
        </is>
      </c>
      <c r="B681">
        <f>IF(IF(AND('Editable assumptions'!B16&lt;=DATE(2026,3,1),DATE(2026,3,1)&lt;=DATE(2027,9,1))="",FALSE,AND('Editable assumptions'!B16&lt;=DATE(2026,3,1),DATE(2026,3,1)&lt;=DATE(2027,9,1))),'Model inputs'!F12,"")</f>
      </c>
    </row>
    <row r="682">
      <c r="A682" t="inlineStr" s="21">
        <is>
          <t xml:space="preserve">Calculation</t>
        </is>
      </c>
      <c r="B682">
        <f>IF(IF(AND('Editable assumptions'!B16&lt;=DATE(2026,4,1),DATE(2026,4,1)&lt;=DATE(2027,9,1))="",FALSE,AND('Editable assumptions'!B16&lt;=DATE(2026,4,1),DATE(2026,4,1)&lt;=DATE(2027,9,1))),'Model inputs'!G12,"")</f>
      </c>
    </row>
    <row r="683">
      <c r="A683" t="inlineStr" s="21">
        <is>
          <t xml:space="preserve">Calculation</t>
        </is>
      </c>
      <c r="B683">
        <f>IF(IF(AND('Editable assumptions'!B16&lt;=DATE(2026,5,1),DATE(2026,5,1)&lt;=DATE(2027,9,1))="",FALSE,AND('Editable assumptions'!B16&lt;=DATE(2026,5,1),DATE(2026,5,1)&lt;=DATE(2027,9,1))),'Model inputs'!H12,"")</f>
      </c>
    </row>
    <row r="684">
      <c r="A684" t="inlineStr" s="21">
        <is>
          <t xml:space="preserve">Calculation</t>
        </is>
      </c>
      <c r="B684">
        <f>IF(IF(AND('Editable assumptions'!B16&lt;=DATE(2026,6,1),DATE(2026,6,1)&lt;=DATE(2027,9,1))="",FALSE,AND('Editable assumptions'!B16&lt;=DATE(2026,6,1),DATE(2026,6,1)&lt;=DATE(2027,9,1))),'Model inputs'!I12,"")</f>
      </c>
    </row>
    <row r="685">
      <c r="A685" t="inlineStr" s="21">
        <is>
          <t xml:space="preserve">Calculation</t>
        </is>
      </c>
      <c r="B685">
        <f>IF(IF(AND('Editable assumptions'!B16&lt;=DATE(2026,7,1),DATE(2026,7,1)&lt;=DATE(2027,9,1))="",FALSE,AND('Editable assumptions'!B16&lt;=DATE(2026,7,1),DATE(2026,7,1)&lt;=DATE(2027,9,1))),'Model inputs'!J12,"")</f>
      </c>
    </row>
    <row r="686">
      <c r="A686" t="inlineStr" s="21">
        <is>
          <t xml:space="preserve">Calculation</t>
        </is>
      </c>
      <c r="B686">
        <f>IF(IF(AND('Editable assumptions'!B16&lt;=DATE(2026,8,1),DATE(2026,8,1)&lt;=DATE(2027,9,1))="",FALSE,AND('Editable assumptions'!B16&lt;=DATE(2026,8,1),DATE(2026,8,1)&lt;=DATE(2027,9,1))),'Model inputs'!K12,"")</f>
      </c>
    </row>
    <row r="687">
      <c r="A687" t="inlineStr" s="21">
        <is>
          <t xml:space="preserve">Calculation</t>
        </is>
      </c>
      <c r="B687">
        <f>IF(AND('Model inputs'!B654="",'Model inputs'!B655="",'Model inputs'!B656="",'Model inputs'!B657="",'Model inputs'!B658="",'Model inputs'!B659="",'Model inputs'!B660="",'Model inputs'!B661="",'Model inputs'!B662="",'Model inputs'!B663="",'Model inputs'!B664="",'Model inputs'!B665="",'Model inputs'!B666="",'Model inputs'!B667="",'Model inputs'!B668="",'Model inputs'!B669="",'Model inputs'!B670="",'Model inputs'!B671="",'Model inputs'!B672="",'Model inputs'!B673="",'Model inputs'!B674="",'Model inputs'!B675="",'Model inputs'!B676="",'Model inputs'!B677="",'Model inputs'!B678="",'Model inputs'!B679="",'Model inputs'!B680="",'Model inputs'!B681="",'Model inputs'!B682="",'Model inputs'!B683="",'Model inputs'!B684="",'Model inputs'!B685="",'Model inputs'!B686=""),"",MIN('Model inputs'!B654,'Model inputs'!B655,'Model inputs'!B656,'Model inputs'!B657,'Model inputs'!B658,'Model inputs'!B659,'Model inputs'!B660,'Model inputs'!B661,'Model inputs'!B662,'Model inputs'!B663,'Model inputs'!B664,'Model inputs'!B665,'Model inputs'!B666,'Model inputs'!B667,'Model inputs'!B668,'Model inputs'!B669,'Model inputs'!B670,'Model inputs'!B671,'Model inputs'!B672,'Model inputs'!B673,'Model inputs'!B674,'Model inputs'!B675,'Model inputs'!B676,'Model inputs'!B677,'Model inputs'!B678,'Model inputs'!B679,'Model inputs'!B680,'Model inputs'!B681,'Model inputs'!B682,'Model inputs'!B683,'Model inputs'!B684,'Model inputs'!B685,'Model inputs'!B686))</f>
      </c>
    </row>
    <row r="688">
      <c r="A688" t="inlineStr" s="21">
        <is>
          <t xml:space="preserve">Calculation</t>
        </is>
      </c>
      <c r="B688">
        <f>IF(IF(AND('Editable assumptions'!B16&lt;=DATE(2026,9,1),DATE(2026,9,1)&lt;=DATE(2027,10,1))="",FALSE,AND('Editable assumptions'!B16&lt;=DATE(2026,9,1),DATE(2026,9,1)&lt;=DATE(2027,10,1))),'Monthly forecast and cash'!B29,"")</f>
      </c>
    </row>
    <row r="689">
      <c r="A689" t="inlineStr" s="21">
        <is>
          <t xml:space="preserve">Calculation</t>
        </is>
      </c>
      <c r="B689">
        <f>IF(IF(AND('Editable assumptions'!B16&lt;=DATE(2026,10,1),DATE(2026,10,1)&lt;=DATE(2027,10,1))="",FALSE,AND('Editable assumptions'!B16&lt;=DATE(2026,10,1),DATE(2026,10,1)&lt;=DATE(2027,10,1))),'Monthly forecast and cash'!C29,"")</f>
      </c>
    </row>
    <row r="690">
      <c r="A690" t="inlineStr" s="21">
        <is>
          <t xml:space="preserve">Calculation</t>
        </is>
      </c>
      <c r="B690">
        <f>IF(IF(AND('Editable assumptions'!B16&lt;=DATE(2026,11,1),DATE(2026,11,1)&lt;=DATE(2027,10,1))="",FALSE,AND('Editable assumptions'!B16&lt;=DATE(2026,11,1),DATE(2026,11,1)&lt;=DATE(2027,10,1))),'Monthly forecast and cash'!D29,"")</f>
      </c>
    </row>
    <row r="691">
      <c r="A691" t="inlineStr" s="21">
        <is>
          <t xml:space="preserve">Calculation</t>
        </is>
      </c>
      <c r="B691">
        <f>IF(IF(AND('Editable assumptions'!B16&lt;=DATE(2026,12,1),DATE(2026,12,1)&lt;=DATE(2027,10,1))="",FALSE,AND('Editable assumptions'!B16&lt;=DATE(2026,12,1),DATE(2026,12,1)&lt;=DATE(2027,10,1))),'Monthly forecast and cash'!E29,"")</f>
      </c>
    </row>
    <row r="692">
      <c r="A692" t="inlineStr" s="21">
        <is>
          <t xml:space="preserve">Calculation</t>
        </is>
      </c>
      <c r="B692">
        <f>IF(IF(AND('Editable assumptions'!B16&lt;=DATE(2027,1,1),DATE(2027,1,1)&lt;=DATE(2027,10,1))="",FALSE,AND('Editable assumptions'!B16&lt;=DATE(2027,1,1),DATE(2027,1,1)&lt;=DATE(2027,10,1))),'Monthly forecast and cash'!F29,"")</f>
      </c>
    </row>
    <row r="693">
      <c r="A693" t="inlineStr" s="21">
        <is>
          <t xml:space="preserve">Calculation</t>
        </is>
      </c>
      <c r="B693">
        <f>IF(IF(AND('Editable assumptions'!B16&lt;=DATE(2027,2,1),DATE(2027,2,1)&lt;=DATE(2027,10,1))="",FALSE,AND('Editable assumptions'!B16&lt;=DATE(2027,2,1),DATE(2027,2,1)&lt;=DATE(2027,10,1))),'Monthly forecast and cash'!G29,"")</f>
      </c>
    </row>
    <row r="694">
      <c r="A694" t="inlineStr" s="21">
        <is>
          <t xml:space="preserve">Calculation</t>
        </is>
      </c>
      <c r="B694">
        <f>IF(IF(AND('Editable assumptions'!B16&lt;=DATE(2027,3,1),DATE(2027,3,1)&lt;=DATE(2027,10,1))="",FALSE,AND('Editable assumptions'!B16&lt;=DATE(2027,3,1),DATE(2027,3,1)&lt;=DATE(2027,10,1))),'Monthly forecast and cash'!H29,"")</f>
      </c>
    </row>
    <row r="695">
      <c r="A695" t="inlineStr" s="21">
        <is>
          <t xml:space="preserve">Calculation</t>
        </is>
      </c>
      <c r="B695">
        <f>IF(IF(AND('Editable assumptions'!B16&lt;=DATE(2027,4,1),DATE(2027,4,1)&lt;=DATE(2027,10,1))="",FALSE,AND('Editable assumptions'!B16&lt;=DATE(2027,4,1),DATE(2027,4,1)&lt;=DATE(2027,10,1))),'Monthly forecast and cash'!I29,"")</f>
      </c>
    </row>
    <row r="696">
      <c r="A696" t="inlineStr" s="21">
        <is>
          <t xml:space="preserve">Calculation</t>
        </is>
      </c>
      <c r="B696">
        <f>IF(IF(AND('Editable assumptions'!B16&lt;=DATE(2027,5,1),DATE(2027,5,1)&lt;=DATE(2027,10,1))="",FALSE,AND('Editable assumptions'!B16&lt;=DATE(2027,5,1),DATE(2027,5,1)&lt;=DATE(2027,10,1))),'Monthly forecast and cash'!J29,"")</f>
      </c>
    </row>
    <row r="697">
      <c r="A697" t="inlineStr" s="21">
        <is>
          <t xml:space="preserve">Calculation</t>
        </is>
      </c>
      <c r="B697">
        <f>IF(IF(AND('Editable assumptions'!B16&lt;=DATE(2027,6,1),DATE(2027,6,1)&lt;=DATE(2027,10,1))="",FALSE,AND('Editable assumptions'!B16&lt;=DATE(2027,6,1),DATE(2027,6,1)&lt;=DATE(2027,10,1))),'Monthly forecast and cash'!K29,"")</f>
      </c>
    </row>
    <row r="698">
      <c r="A698" t="inlineStr" s="21">
        <is>
          <t xml:space="preserve">Calculation</t>
        </is>
      </c>
      <c r="B698">
        <f>IF(IF(AND('Editable assumptions'!B16&lt;=DATE(2027,7,1),DATE(2027,7,1)&lt;=DATE(2027,10,1))="",FALSE,AND('Editable assumptions'!B16&lt;=DATE(2027,7,1),DATE(2027,7,1)&lt;=DATE(2027,10,1))),'Monthly forecast and cash'!L29,"")</f>
      </c>
    </row>
    <row r="699">
      <c r="A699" t="inlineStr" s="21">
        <is>
          <t xml:space="preserve">Calculation</t>
        </is>
      </c>
      <c r="B699">
        <f>IF(IF(AND('Editable assumptions'!B16&lt;=DATE(2027,8,1),DATE(2027,8,1)&lt;=DATE(2027,10,1))="",FALSE,AND('Editable assumptions'!B16&lt;=DATE(2027,8,1),DATE(2027,8,1)&lt;=DATE(2027,10,1))),'Monthly forecast and cash'!M29,"")</f>
      </c>
    </row>
    <row r="700">
      <c r="A700" t="inlineStr" s="21">
        <is>
          <t xml:space="preserve">Calculation</t>
        </is>
      </c>
      <c r="B700">
        <f>IF(IF(AND('Editable assumptions'!B16&lt;=DATE(2027,9,1),DATE(2027,9,1)&lt;=DATE(2027,10,1))="",FALSE,AND('Editable assumptions'!B16&lt;=DATE(2027,9,1),DATE(2027,9,1)&lt;=DATE(2027,10,1))),'Monthly forecast and cash'!N29,"")</f>
      </c>
    </row>
    <row r="701">
      <c r="A701" t="inlineStr" s="21">
        <is>
          <t xml:space="preserve">Calculation</t>
        </is>
      </c>
      <c r="B701">
        <f>IF(IF(AND('Editable assumptions'!B16&lt;=DATE(2027,10,1),DATE(2027,10,1)&lt;=DATE(2027,10,1))="",FALSE,AND('Editable assumptions'!B16&lt;=DATE(2027,10,1),DATE(2027,10,1)&lt;=DATE(2027,10,1))),'Monthly forecast and cash'!O29,"")</f>
      </c>
    </row>
    <row r="702">
      <c r="A702" t="inlineStr" s="21">
        <is>
          <t xml:space="preserve">Calculation</t>
        </is>
      </c>
      <c r="B702">
        <f>IF(IF(AND('Editable assumptions'!B16&lt;=DATE(2027,11,1),DATE(2027,11,1)&lt;=DATE(2027,10,1))="",FALSE,AND('Editable assumptions'!B16&lt;=DATE(2027,11,1),DATE(2027,11,1)&lt;=DATE(2027,10,1))),'Monthly forecast and cash'!P29,"")</f>
      </c>
    </row>
    <row r="703">
      <c r="A703" t="inlineStr" s="21">
        <is>
          <t xml:space="preserve">Calculation</t>
        </is>
      </c>
      <c r="B703">
        <f>IF(IF(AND('Editable assumptions'!B16&lt;=DATE(2027,12,1),DATE(2027,12,1)&lt;=DATE(2027,10,1))="",FALSE,AND('Editable assumptions'!B16&lt;=DATE(2027,12,1),DATE(2027,12,1)&lt;=DATE(2027,10,1))),'Monthly forecast and cash'!Q29,"")</f>
      </c>
    </row>
    <row r="704">
      <c r="A704" t="inlineStr" s="21">
        <is>
          <t xml:space="preserve">Calculation</t>
        </is>
      </c>
      <c r="B704">
        <f>IF(IF(AND('Editable assumptions'!B16&lt;=DATE(2028,1,1),DATE(2028,1,1)&lt;=DATE(2027,10,1))="",FALSE,AND('Editable assumptions'!B16&lt;=DATE(2028,1,1),DATE(2028,1,1)&lt;=DATE(2027,10,1))),'Monthly forecast and cash'!R29,"")</f>
      </c>
    </row>
    <row r="705">
      <c r="A705" t="inlineStr" s="21">
        <is>
          <t xml:space="preserve">Calculation</t>
        </is>
      </c>
      <c r="B705">
        <f>IF(IF(AND('Editable assumptions'!B16&lt;=DATE(2028,2,1),DATE(2028,2,1)&lt;=DATE(2027,10,1))="",FALSE,AND('Editable assumptions'!B16&lt;=DATE(2028,2,1),DATE(2028,2,1)&lt;=DATE(2027,10,1))),'Monthly forecast and cash'!S29,"")</f>
      </c>
    </row>
    <row r="706">
      <c r="A706" t="inlineStr" s="21">
        <is>
          <t xml:space="preserve">Calculation</t>
        </is>
      </c>
      <c r="B706">
        <f>IF(IF(AND('Editable assumptions'!B16&lt;=DATE(2028,3,1),DATE(2028,3,1)&lt;=DATE(2027,10,1))="",FALSE,AND('Editable assumptions'!B16&lt;=DATE(2028,3,1),DATE(2028,3,1)&lt;=DATE(2027,10,1))),'Monthly forecast and cash'!T29,"")</f>
      </c>
    </row>
    <row r="707">
      <c r="A707" t="inlineStr" s="21">
        <is>
          <t xml:space="preserve">Calculation</t>
        </is>
      </c>
      <c r="B707">
        <f>IF(IF(AND('Editable assumptions'!B16&lt;=DATE(2028,4,1),DATE(2028,4,1)&lt;=DATE(2027,10,1))="",FALSE,AND('Editable assumptions'!B16&lt;=DATE(2028,4,1),DATE(2028,4,1)&lt;=DATE(2027,10,1))),'Monthly forecast and cash'!U29,"")</f>
      </c>
    </row>
    <row r="708">
      <c r="A708" t="inlineStr" s="21">
        <is>
          <t xml:space="preserve">Calculation</t>
        </is>
      </c>
      <c r="B708">
        <f>IF(IF(AND('Editable assumptions'!B16&lt;=DATE(2028,5,1),DATE(2028,5,1)&lt;=DATE(2027,10,1))="",FALSE,AND('Editable assumptions'!B16&lt;=DATE(2028,5,1),DATE(2028,5,1)&lt;=DATE(2027,10,1))),'Monthly forecast and cash'!V29,"")</f>
      </c>
    </row>
    <row r="709">
      <c r="A709" t="inlineStr" s="21">
        <is>
          <t xml:space="preserve">Calculation</t>
        </is>
      </c>
      <c r="B709">
        <f>IF(IF(AND('Editable assumptions'!B16&lt;=DATE(2028,6,1),DATE(2028,6,1)&lt;=DATE(2027,10,1))="",FALSE,AND('Editable assumptions'!B16&lt;=DATE(2028,6,1),DATE(2028,6,1)&lt;=DATE(2027,10,1))),'Monthly forecast and cash'!W29,"")</f>
      </c>
    </row>
    <row r="710">
      <c r="A710" t="inlineStr" s="21">
        <is>
          <t xml:space="preserve">Calculation</t>
        </is>
      </c>
      <c r="B710">
        <f>IF(IF(AND('Editable assumptions'!B16&lt;=DATE(2028,7,1),DATE(2028,7,1)&lt;=DATE(2027,10,1))="",FALSE,AND('Editable assumptions'!B16&lt;=DATE(2028,7,1),DATE(2028,7,1)&lt;=DATE(2027,10,1))),'Monthly forecast and cash'!X29,"")</f>
      </c>
    </row>
    <row r="711">
      <c r="A711" t="inlineStr" s="21">
        <is>
          <t xml:space="preserve">Calculation</t>
        </is>
      </c>
      <c r="B711">
        <f>IF(IF(AND('Editable assumptions'!B16&lt;=DATE(2028,8,1),DATE(2028,8,1)&lt;=DATE(2027,10,1))="",FALSE,AND('Editable assumptions'!B16&lt;=DATE(2028,8,1),DATE(2028,8,1)&lt;=DATE(2027,10,1))),'Monthly forecast and cash'!Y29,"")</f>
      </c>
    </row>
    <row r="712">
      <c r="A712" t="inlineStr" s="21">
        <is>
          <t xml:space="preserve">Calculation</t>
        </is>
      </c>
      <c r="B712">
        <f>IF(IF(AND('Editable assumptions'!B16&lt;=DATE(2028,9,1),DATE(2028,9,1)&lt;=DATE(2027,10,1))="",FALSE,AND('Editable assumptions'!B16&lt;=DATE(2028,9,1),DATE(2028,9,1)&lt;=DATE(2027,10,1))),'Monthly forecast and cash'!Z29,"")</f>
      </c>
    </row>
    <row r="713">
      <c r="A713" t="inlineStr" s="21">
        <is>
          <t xml:space="preserve">Calculation</t>
        </is>
      </c>
      <c r="B713">
        <f>IF(IF(AND('Editable assumptions'!B16&lt;=DATE(2026,1,1),DATE(2026,1,1)&lt;=DATE(2027,10,1))="",FALSE,AND('Editable assumptions'!B16&lt;=DATE(2026,1,1),DATE(2026,1,1)&lt;=DATE(2027,10,1))),'Model inputs'!D12,"")</f>
      </c>
    </row>
    <row r="714">
      <c r="A714" t="inlineStr" s="21">
        <is>
          <t xml:space="preserve">Calculation</t>
        </is>
      </c>
      <c r="B714">
        <f>IF(IF(AND('Editable assumptions'!B16&lt;=DATE(2026,2,1),DATE(2026,2,1)&lt;=DATE(2027,10,1))="",FALSE,AND('Editable assumptions'!B16&lt;=DATE(2026,2,1),DATE(2026,2,1)&lt;=DATE(2027,10,1))),'Model inputs'!E12,"")</f>
      </c>
    </row>
    <row r="715">
      <c r="A715" t="inlineStr" s="21">
        <is>
          <t xml:space="preserve">Calculation</t>
        </is>
      </c>
      <c r="B715">
        <f>IF(IF(AND('Editable assumptions'!B16&lt;=DATE(2026,3,1),DATE(2026,3,1)&lt;=DATE(2027,10,1))="",FALSE,AND('Editable assumptions'!B16&lt;=DATE(2026,3,1),DATE(2026,3,1)&lt;=DATE(2027,10,1))),'Model inputs'!F12,"")</f>
      </c>
    </row>
    <row r="716">
      <c r="A716" t="inlineStr" s="21">
        <is>
          <t xml:space="preserve">Calculation</t>
        </is>
      </c>
      <c r="B716">
        <f>IF(IF(AND('Editable assumptions'!B16&lt;=DATE(2026,4,1),DATE(2026,4,1)&lt;=DATE(2027,10,1))="",FALSE,AND('Editable assumptions'!B16&lt;=DATE(2026,4,1),DATE(2026,4,1)&lt;=DATE(2027,10,1))),'Model inputs'!G12,"")</f>
      </c>
    </row>
    <row r="717">
      <c r="A717" t="inlineStr" s="21">
        <is>
          <t xml:space="preserve">Calculation</t>
        </is>
      </c>
      <c r="B717">
        <f>IF(IF(AND('Editable assumptions'!B16&lt;=DATE(2026,5,1),DATE(2026,5,1)&lt;=DATE(2027,10,1))="",FALSE,AND('Editable assumptions'!B16&lt;=DATE(2026,5,1),DATE(2026,5,1)&lt;=DATE(2027,10,1))),'Model inputs'!H12,"")</f>
      </c>
    </row>
    <row r="718">
      <c r="A718" t="inlineStr" s="21">
        <is>
          <t xml:space="preserve">Calculation</t>
        </is>
      </c>
      <c r="B718">
        <f>IF(IF(AND('Editable assumptions'!B16&lt;=DATE(2026,6,1),DATE(2026,6,1)&lt;=DATE(2027,10,1))="",FALSE,AND('Editable assumptions'!B16&lt;=DATE(2026,6,1),DATE(2026,6,1)&lt;=DATE(2027,10,1))),'Model inputs'!I12,"")</f>
      </c>
    </row>
    <row r="719">
      <c r="A719" t="inlineStr" s="21">
        <is>
          <t xml:space="preserve">Calculation</t>
        </is>
      </c>
      <c r="B719">
        <f>IF(IF(AND('Editable assumptions'!B16&lt;=DATE(2026,7,1),DATE(2026,7,1)&lt;=DATE(2027,10,1))="",FALSE,AND('Editable assumptions'!B16&lt;=DATE(2026,7,1),DATE(2026,7,1)&lt;=DATE(2027,10,1))),'Model inputs'!J12,"")</f>
      </c>
    </row>
    <row r="720">
      <c r="A720" t="inlineStr" s="21">
        <is>
          <t xml:space="preserve">Calculation</t>
        </is>
      </c>
      <c r="B720">
        <f>IF(IF(AND('Editable assumptions'!B16&lt;=DATE(2026,8,1),DATE(2026,8,1)&lt;=DATE(2027,10,1))="",FALSE,AND('Editable assumptions'!B16&lt;=DATE(2026,8,1),DATE(2026,8,1)&lt;=DATE(2027,10,1))),'Model inputs'!K12,"")</f>
      </c>
    </row>
    <row r="721">
      <c r="A721" t="inlineStr" s="21">
        <is>
          <t xml:space="preserve">Calculation</t>
        </is>
      </c>
      <c r="B721">
        <f>IF(AND('Model inputs'!B688="",'Model inputs'!B689="",'Model inputs'!B690="",'Model inputs'!B691="",'Model inputs'!B692="",'Model inputs'!B693="",'Model inputs'!B694="",'Model inputs'!B695="",'Model inputs'!B696="",'Model inputs'!B697="",'Model inputs'!B698="",'Model inputs'!B699="",'Model inputs'!B700="",'Model inputs'!B701="",'Model inputs'!B702="",'Model inputs'!B703="",'Model inputs'!B704="",'Model inputs'!B705="",'Model inputs'!B706="",'Model inputs'!B707="",'Model inputs'!B708="",'Model inputs'!B709="",'Model inputs'!B710="",'Model inputs'!B711="",'Model inputs'!B712="",'Model inputs'!B713="",'Model inputs'!B714="",'Model inputs'!B715="",'Model inputs'!B716="",'Model inputs'!B717="",'Model inputs'!B718="",'Model inputs'!B719="",'Model inputs'!B720=""),"",MIN('Model inputs'!B688,'Model inputs'!B689,'Model inputs'!B690,'Model inputs'!B691,'Model inputs'!B692,'Model inputs'!B693,'Model inputs'!B694,'Model inputs'!B695,'Model inputs'!B696,'Model inputs'!B697,'Model inputs'!B698,'Model inputs'!B699,'Model inputs'!B700,'Model inputs'!B701,'Model inputs'!B702,'Model inputs'!B703,'Model inputs'!B704,'Model inputs'!B705,'Model inputs'!B706,'Model inputs'!B707,'Model inputs'!B708,'Model inputs'!B709,'Model inputs'!B710,'Model inputs'!B711,'Model inputs'!B712,'Model inputs'!B713,'Model inputs'!B714,'Model inputs'!B715,'Model inputs'!B716,'Model inputs'!B717,'Model inputs'!B718,'Model inputs'!B719,'Model inputs'!B720))</f>
      </c>
    </row>
    <row r="722">
      <c r="A722" t="inlineStr" s="21">
        <is>
          <t xml:space="preserve">Calculation</t>
        </is>
      </c>
      <c r="B722">
        <f>IF(IF(AND('Editable assumptions'!B16&lt;=DATE(2026,9,1),DATE(2026,9,1)&lt;=DATE(2027,11,1))="",FALSE,AND('Editable assumptions'!B16&lt;=DATE(2026,9,1),DATE(2026,9,1)&lt;=DATE(2027,11,1))),'Monthly forecast and cash'!B29,"")</f>
      </c>
    </row>
    <row r="723">
      <c r="A723" t="inlineStr" s="21">
        <is>
          <t xml:space="preserve">Calculation</t>
        </is>
      </c>
      <c r="B723">
        <f>IF(IF(AND('Editable assumptions'!B16&lt;=DATE(2026,10,1),DATE(2026,10,1)&lt;=DATE(2027,11,1))="",FALSE,AND('Editable assumptions'!B16&lt;=DATE(2026,10,1),DATE(2026,10,1)&lt;=DATE(2027,11,1))),'Monthly forecast and cash'!C29,"")</f>
      </c>
    </row>
    <row r="724">
      <c r="A724" t="inlineStr" s="21">
        <is>
          <t xml:space="preserve">Calculation</t>
        </is>
      </c>
      <c r="B724">
        <f>IF(IF(AND('Editable assumptions'!B16&lt;=DATE(2026,11,1),DATE(2026,11,1)&lt;=DATE(2027,11,1))="",FALSE,AND('Editable assumptions'!B16&lt;=DATE(2026,11,1),DATE(2026,11,1)&lt;=DATE(2027,11,1))),'Monthly forecast and cash'!D29,"")</f>
      </c>
    </row>
    <row r="725">
      <c r="A725" t="inlineStr" s="21">
        <is>
          <t xml:space="preserve">Calculation</t>
        </is>
      </c>
      <c r="B725">
        <f>IF(IF(AND('Editable assumptions'!B16&lt;=DATE(2026,12,1),DATE(2026,12,1)&lt;=DATE(2027,11,1))="",FALSE,AND('Editable assumptions'!B16&lt;=DATE(2026,12,1),DATE(2026,12,1)&lt;=DATE(2027,11,1))),'Monthly forecast and cash'!E29,"")</f>
      </c>
    </row>
    <row r="726">
      <c r="A726" t="inlineStr" s="21">
        <is>
          <t xml:space="preserve">Calculation</t>
        </is>
      </c>
      <c r="B726">
        <f>IF(IF(AND('Editable assumptions'!B16&lt;=DATE(2027,1,1),DATE(2027,1,1)&lt;=DATE(2027,11,1))="",FALSE,AND('Editable assumptions'!B16&lt;=DATE(2027,1,1),DATE(2027,1,1)&lt;=DATE(2027,11,1))),'Monthly forecast and cash'!F29,"")</f>
      </c>
    </row>
    <row r="727">
      <c r="A727" t="inlineStr" s="21">
        <is>
          <t xml:space="preserve">Calculation</t>
        </is>
      </c>
      <c r="B727">
        <f>IF(IF(AND('Editable assumptions'!B16&lt;=DATE(2027,2,1),DATE(2027,2,1)&lt;=DATE(2027,11,1))="",FALSE,AND('Editable assumptions'!B16&lt;=DATE(2027,2,1),DATE(2027,2,1)&lt;=DATE(2027,11,1))),'Monthly forecast and cash'!G29,"")</f>
      </c>
    </row>
    <row r="728">
      <c r="A728" t="inlineStr" s="21">
        <is>
          <t xml:space="preserve">Calculation</t>
        </is>
      </c>
      <c r="B728">
        <f>IF(IF(AND('Editable assumptions'!B16&lt;=DATE(2027,3,1),DATE(2027,3,1)&lt;=DATE(2027,11,1))="",FALSE,AND('Editable assumptions'!B16&lt;=DATE(2027,3,1),DATE(2027,3,1)&lt;=DATE(2027,11,1))),'Monthly forecast and cash'!H29,"")</f>
      </c>
    </row>
    <row r="729">
      <c r="A729" t="inlineStr" s="21">
        <is>
          <t xml:space="preserve">Calculation</t>
        </is>
      </c>
      <c r="B729">
        <f>IF(IF(AND('Editable assumptions'!B16&lt;=DATE(2027,4,1),DATE(2027,4,1)&lt;=DATE(2027,11,1))="",FALSE,AND('Editable assumptions'!B16&lt;=DATE(2027,4,1),DATE(2027,4,1)&lt;=DATE(2027,11,1))),'Monthly forecast and cash'!I29,"")</f>
      </c>
    </row>
    <row r="730">
      <c r="A730" t="inlineStr" s="21">
        <is>
          <t xml:space="preserve">Calculation</t>
        </is>
      </c>
      <c r="B730">
        <f>IF(IF(AND('Editable assumptions'!B16&lt;=DATE(2027,5,1),DATE(2027,5,1)&lt;=DATE(2027,11,1))="",FALSE,AND('Editable assumptions'!B16&lt;=DATE(2027,5,1),DATE(2027,5,1)&lt;=DATE(2027,11,1))),'Monthly forecast and cash'!J29,"")</f>
      </c>
    </row>
    <row r="731">
      <c r="A731" t="inlineStr" s="21">
        <is>
          <t xml:space="preserve">Calculation</t>
        </is>
      </c>
      <c r="B731">
        <f>IF(IF(AND('Editable assumptions'!B16&lt;=DATE(2027,6,1),DATE(2027,6,1)&lt;=DATE(2027,11,1))="",FALSE,AND('Editable assumptions'!B16&lt;=DATE(2027,6,1),DATE(2027,6,1)&lt;=DATE(2027,11,1))),'Monthly forecast and cash'!K29,"")</f>
      </c>
    </row>
    <row r="732">
      <c r="A732" t="inlineStr" s="21">
        <is>
          <t xml:space="preserve">Calculation</t>
        </is>
      </c>
      <c r="B732">
        <f>IF(IF(AND('Editable assumptions'!B16&lt;=DATE(2027,7,1),DATE(2027,7,1)&lt;=DATE(2027,11,1))="",FALSE,AND('Editable assumptions'!B16&lt;=DATE(2027,7,1),DATE(2027,7,1)&lt;=DATE(2027,11,1))),'Monthly forecast and cash'!L29,"")</f>
      </c>
    </row>
    <row r="733">
      <c r="A733" t="inlineStr" s="21">
        <is>
          <t xml:space="preserve">Calculation</t>
        </is>
      </c>
      <c r="B733">
        <f>IF(IF(AND('Editable assumptions'!B16&lt;=DATE(2027,8,1),DATE(2027,8,1)&lt;=DATE(2027,11,1))="",FALSE,AND('Editable assumptions'!B16&lt;=DATE(2027,8,1),DATE(2027,8,1)&lt;=DATE(2027,11,1))),'Monthly forecast and cash'!M29,"")</f>
      </c>
    </row>
    <row r="734">
      <c r="A734" t="inlineStr" s="21">
        <is>
          <t xml:space="preserve">Calculation</t>
        </is>
      </c>
      <c r="B734">
        <f>IF(IF(AND('Editable assumptions'!B16&lt;=DATE(2027,9,1),DATE(2027,9,1)&lt;=DATE(2027,11,1))="",FALSE,AND('Editable assumptions'!B16&lt;=DATE(2027,9,1),DATE(2027,9,1)&lt;=DATE(2027,11,1))),'Monthly forecast and cash'!N29,"")</f>
      </c>
    </row>
    <row r="735">
      <c r="A735" t="inlineStr" s="21">
        <is>
          <t xml:space="preserve">Calculation</t>
        </is>
      </c>
      <c r="B735">
        <f>IF(IF(AND('Editable assumptions'!B16&lt;=DATE(2027,10,1),DATE(2027,10,1)&lt;=DATE(2027,11,1))="",FALSE,AND('Editable assumptions'!B16&lt;=DATE(2027,10,1),DATE(2027,10,1)&lt;=DATE(2027,11,1))),'Monthly forecast and cash'!O29,"")</f>
      </c>
    </row>
    <row r="736">
      <c r="A736" t="inlineStr" s="21">
        <is>
          <t xml:space="preserve">Calculation</t>
        </is>
      </c>
      <c r="B736">
        <f>IF(IF(AND('Editable assumptions'!B16&lt;=DATE(2027,11,1),DATE(2027,11,1)&lt;=DATE(2027,11,1))="",FALSE,AND('Editable assumptions'!B16&lt;=DATE(2027,11,1),DATE(2027,11,1)&lt;=DATE(2027,11,1))),'Monthly forecast and cash'!P29,"")</f>
      </c>
    </row>
    <row r="737">
      <c r="A737" t="inlineStr" s="21">
        <is>
          <t xml:space="preserve">Calculation</t>
        </is>
      </c>
      <c r="B737">
        <f>IF(IF(AND('Editable assumptions'!B16&lt;=DATE(2027,12,1),DATE(2027,12,1)&lt;=DATE(2027,11,1))="",FALSE,AND('Editable assumptions'!B16&lt;=DATE(2027,12,1),DATE(2027,12,1)&lt;=DATE(2027,11,1))),'Monthly forecast and cash'!Q29,"")</f>
      </c>
    </row>
    <row r="738">
      <c r="A738" t="inlineStr" s="21">
        <is>
          <t xml:space="preserve">Calculation</t>
        </is>
      </c>
      <c r="B738">
        <f>IF(IF(AND('Editable assumptions'!B16&lt;=DATE(2028,1,1),DATE(2028,1,1)&lt;=DATE(2027,11,1))="",FALSE,AND('Editable assumptions'!B16&lt;=DATE(2028,1,1),DATE(2028,1,1)&lt;=DATE(2027,11,1))),'Monthly forecast and cash'!R29,"")</f>
      </c>
    </row>
    <row r="739">
      <c r="A739" t="inlineStr" s="21">
        <is>
          <t xml:space="preserve">Calculation</t>
        </is>
      </c>
      <c r="B739">
        <f>IF(IF(AND('Editable assumptions'!B16&lt;=DATE(2028,2,1),DATE(2028,2,1)&lt;=DATE(2027,11,1))="",FALSE,AND('Editable assumptions'!B16&lt;=DATE(2028,2,1),DATE(2028,2,1)&lt;=DATE(2027,11,1))),'Monthly forecast and cash'!S29,"")</f>
      </c>
    </row>
    <row r="740">
      <c r="A740" t="inlineStr" s="21">
        <is>
          <t xml:space="preserve">Calculation</t>
        </is>
      </c>
      <c r="B740">
        <f>IF(IF(AND('Editable assumptions'!B16&lt;=DATE(2028,3,1),DATE(2028,3,1)&lt;=DATE(2027,11,1))="",FALSE,AND('Editable assumptions'!B16&lt;=DATE(2028,3,1),DATE(2028,3,1)&lt;=DATE(2027,11,1))),'Monthly forecast and cash'!T29,"")</f>
      </c>
    </row>
    <row r="741">
      <c r="A741" t="inlineStr" s="21">
        <is>
          <t xml:space="preserve">Calculation</t>
        </is>
      </c>
      <c r="B741">
        <f>IF(IF(AND('Editable assumptions'!B16&lt;=DATE(2028,4,1),DATE(2028,4,1)&lt;=DATE(2027,11,1))="",FALSE,AND('Editable assumptions'!B16&lt;=DATE(2028,4,1),DATE(2028,4,1)&lt;=DATE(2027,11,1))),'Monthly forecast and cash'!U29,"")</f>
      </c>
    </row>
    <row r="742">
      <c r="A742" t="inlineStr" s="21">
        <is>
          <t xml:space="preserve">Calculation</t>
        </is>
      </c>
      <c r="B742">
        <f>IF(IF(AND('Editable assumptions'!B16&lt;=DATE(2028,5,1),DATE(2028,5,1)&lt;=DATE(2027,11,1))="",FALSE,AND('Editable assumptions'!B16&lt;=DATE(2028,5,1),DATE(2028,5,1)&lt;=DATE(2027,11,1))),'Monthly forecast and cash'!V29,"")</f>
      </c>
    </row>
    <row r="743">
      <c r="A743" t="inlineStr" s="21">
        <is>
          <t xml:space="preserve">Calculation</t>
        </is>
      </c>
      <c r="B743">
        <f>IF(IF(AND('Editable assumptions'!B16&lt;=DATE(2028,6,1),DATE(2028,6,1)&lt;=DATE(2027,11,1))="",FALSE,AND('Editable assumptions'!B16&lt;=DATE(2028,6,1),DATE(2028,6,1)&lt;=DATE(2027,11,1))),'Monthly forecast and cash'!W29,"")</f>
      </c>
    </row>
    <row r="744">
      <c r="A744" t="inlineStr" s="21">
        <is>
          <t xml:space="preserve">Calculation</t>
        </is>
      </c>
      <c r="B744">
        <f>IF(IF(AND('Editable assumptions'!B16&lt;=DATE(2028,7,1),DATE(2028,7,1)&lt;=DATE(2027,11,1))="",FALSE,AND('Editable assumptions'!B16&lt;=DATE(2028,7,1),DATE(2028,7,1)&lt;=DATE(2027,11,1))),'Monthly forecast and cash'!X29,"")</f>
      </c>
    </row>
    <row r="745">
      <c r="A745" t="inlineStr" s="21">
        <is>
          <t xml:space="preserve">Calculation</t>
        </is>
      </c>
      <c r="B745">
        <f>IF(IF(AND('Editable assumptions'!B16&lt;=DATE(2028,8,1),DATE(2028,8,1)&lt;=DATE(2027,11,1))="",FALSE,AND('Editable assumptions'!B16&lt;=DATE(2028,8,1),DATE(2028,8,1)&lt;=DATE(2027,11,1))),'Monthly forecast and cash'!Y29,"")</f>
      </c>
    </row>
    <row r="746">
      <c r="A746" t="inlineStr" s="21">
        <is>
          <t xml:space="preserve">Calculation</t>
        </is>
      </c>
      <c r="B746">
        <f>IF(IF(AND('Editable assumptions'!B16&lt;=DATE(2028,9,1),DATE(2028,9,1)&lt;=DATE(2027,11,1))="",FALSE,AND('Editable assumptions'!B16&lt;=DATE(2028,9,1),DATE(2028,9,1)&lt;=DATE(2027,11,1))),'Monthly forecast and cash'!Z29,"")</f>
      </c>
    </row>
    <row r="747">
      <c r="A747" t="inlineStr" s="21">
        <is>
          <t xml:space="preserve">Calculation</t>
        </is>
      </c>
      <c r="B747">
        <f>IF(IF(AND('Editable assumptions'!B16&lt;=DATE(2026,1,1),DATE(2026,1,1)&lt;=DATE(2027,11,1))="",FALSE,AND('Editable assumptions'!B16&lt;=DATE(2026,1,1),DATE(2026,1,1)&lt;=DATE(2027,11,1))),'Model inputs'!D12,"")</f>
      </c>
    </row>
    <row r="748">
      <c r="A748" t="inlineStr" s="21">
        <is>
          <t xml:space="preserve">Calculation</t>
        </is>
      </c>
      <c r="B748">
        <f>IF(IF(AND('Editable assumptions'!B16&lt;=DATE(2026,2,1),DATE(2026,2,1)&lt;=DATE(2027,11,1))="",FALSE,AND('Editable assumptions'!B16&lt;=DATE(2026,2,1),DATE(2026,2,1)&lt;=DATE(2027,11,1))),'Model inputs'!E12,"")</f>
      </c>
    </row>
    <row r="749">
      <c r="A749" t="inlineStr" s="21">
        <is>
          <t xml:space="preserve">Calculation</t>
        </is>
      </c>
      <c r="B749">
        <f>IF(IF(AND('Editable assumptions'!B16&lt;=DATE(2026,3,1),DATE(2026,3,1)&lt;=DATE(2027,11,1))="",FALSE,AND('Editable assumptions'!B16&lt;=DATE(2026,3,1),DATE(2026,3,1)&lt;=DATE(2027,11,1))),'Model inputs'!F12,"")</f>
      </c>
    </row>
    <row r="750">
      <c r="A750" t="inlineStr" s="21">
        <is>
          <t xml:space="preserve">Calculation</t>
        </is>
      </c>
      <c r="B750">
        <f>IF(IF(AND('Editable assumptions'!B16&lt;=DATE(2026,4,1),DATE(2026,4,1)&lt;=DATE(2027,11,1))="",FALSE,AND('Editable assumptions'!B16&lt;=DATE(2026,4,1),DATE(2026,4,1)&lt;=DATE(2027,11,1))),'Model inputs'!G12,"")</f>
      </c>
    </row>
    <row r="751">
      <c r="A751" t="inlineStr" s="21">
        <is>
          <t xml:space="preserve">Calculation</t>
        </is>
      </c>
      <c r="B751">
        <f>IF(IF(AND('Editable assumptions'!B16&lt;=DATE(2026,5,1),DATE(2026,5,1)&lt;=DATE(2027,11,1))="",FALSE,AND('Editable assumptions'!B16&lt;=DATE(2026,5,1),DATE(2026,5,1)&lt;=DATE(2027,11,1))),'Model inputs'!H12,"")</f>
      </c>
    </row>
    <row r="752">
      <c r="A752" t="inlineStr" s="21">
        <is>
          <t xml:space="preserve">Calculation</t>
        </is>
      </c>
      <c r="B752">
        <f>IF(IF(AND('Editable assumptions'!B16&lt;=DATE(2026,6,1),DATE(2026,6,1)&lt;=DATE(2027,11,1))="",FALSE,AND('Editable assumptions'!B16&lt;=DATE(2026,6,1),DATE(2026,6,1)&lt;=DATE(2027,11,1))),'Model inputs'!I12,"")</f>
      </c>
    </row>
    <row r="753">
      <c r="A753" t="inlineStr" s="21">
        <is>
          <t xml:space="preserve">Calculation</t>
        </is>
      </c>
      <c r="B753">
        <f>IF(IF(AND('Editable assumptions'!B16&lt;=DATE(2026,7,1),DATE(2026,7,1)&lt;=DATE(2027,11,1))="",FALSE,AND('Editable assumptions'!B16&lt;=DATE(2026,7,1),DATE(2026,7,1)&lt;=DATE(2027,11,1))),'Model inputs'!J12,"")</f>
      </c>
    </row>
    <row r="754">
      <c r="A754" t="inlineStr" s="21">
        <is>
          <t xml:space="preserve">Calculation</t>
        </is>
      </c>
      <c r="B754">
        <f>IF(IF(AND('Editable assumptions'!B16&lt;=DATE(2026,8,1),DATE(2026,8,1)&lt;=DATE(2027,11,1))="",FALSE,AND('Editable assumptions'!B16&lt;=DATE(2026,8,1),DATE(2026,8,1)&lt;=DATE(2027,11,1))),'Model inputs'!K12,"")</f>
      </c>
    </row>
    <row r="755">
      <c r="A755" t="inlineStr" s="21">
        <is>
          <t xml:space="preserve">Calculation</t>
        </is>
      </c>
      <c r="B755">
        <f>IF(AND('Model inputs'!B722="",'Model inputs'!B723="",'Model inputs'!B724="",'Model inputs'!B725="",'Model inputs'!B726="",'Model inputs'!B727="",'Model inputs'!B728="",'Model inputs'!B729="",'Model inputs'!B730="",'Model inputs'!B731="",'Model inputs'!B732="",'Model inputs'!B733="",'Model inputs'!B734="",'Model inputs'!B735="",'Model inputs'!B736="",'Model inputs'!B737="",'Model inputs'!B738="",'Model inputs'!B739="",'Model inputs'!B740="",'Model inputs'!B741="",'Model inputs'!B742="",'Model inputs'!B743="",'Model inputs'!B744="",'Model inputs'!B745="",'Model inputs'!B746="",'Model inputs'!B747="",'Model inputs'!B748="",'Model inputs'!B749="",'Model inputs'!B750="",'Model inputs'!B751="",'Model inputs'!B752="",'Model inputs'!B753="",'Model inputs'!B754=""),"",MIN('Model inputs'!B722,'Model inputs'!B723,'Model inputs'!B724,'Model inputs'!B725,'Model inputs'!B726,'Model inputs'!B727,'Model inputs'!B728,'Model inputs'!B729,'Model inputs'!B730,'Model inputs'!B731,'Model inputs'!B732,'Model inputs'!B733,'Model inputs'!B734,'Model inputs'!B735,'Model inputs'!B736,'Model inputs'!B737,'Model inputs'!B738,'Model inputs'!B739,'Model inputs'!B740,'Model inputs'!B741,'Model inputs'!B742,'Model inputs'!B743,'Model inputs'!B744,'Model inputs'!B745,'Model inputs'!B746,'Model inputs'!B747,'Model inputs'!B748,'Model inputs'!B749,'Model inputs'!B750,'Model inputs'!B751,'Model inputs'!B752,'Model inputs'!B753,'Model inputs'!B754))</f>
      </c>
    </row>
    <row r="756">
      <c r="A756" t="inlineStr" s="21">
        <is>
          <t xml:space="preserve">Calculation</t>
        </is>
      </c>
      <c r="B756">
        <f>IF(IF(AND('Editable assumptions'!B16&lt;=DATE(2026,9,1),DATE(2026,9,1)&lt;=DATE(2027,12,1))="",FALSE,AND('Editable assumptions'!B16&lt;=DATE(2026,9,1),DATE(2026,9,1)&lt;=DATE(2027,12,1))),'Monthly forecast and cash'!B29,"")</f>
      </c>
    </row>
    <row r="757">
      <c r="A757" t="inlineStr" s="21">
        <is>
          <t xml:space="preserve">Calculation</t>
        </is>
      </c>
      <c r="B757">
        <f>IF(IF(AND('Editable assumptions'!B16&lt;=DATE(2026,10,1),DATE(2026,10,1)&lt;=DATE(2027,12,1))="",FALSE,AND('Editable assumptions'!B16&lt;=DATE(2026,10,1),DATE(2026,10,1)&lt;=DATE(2027,12,1))),'Monthly forecast and cash'!C29,"")</f>
      </c>
    </row>
    <row r="758">
      <c r="A758" t="inlineStr" s="21">
        <is>
          <t xml:space="preserve">Calculation</t>
        </is>
      </c>
      <c r="B758">
        <f>IF(IF(AND('Editable assumptions'!B16&lt;=DATE(2026,11,1),DATE(2026,11,1)&lt;=DATE(2027,12,1))="",FALSE,AND('Editable assumptions'!B16&lt;=DATE(2026,11,1),DATE(2026,11,1)&lt;=DATE(2027,12,1))),'Monthly forecast and cash'!D29,"")</f>
      </c>
    </row>
    <row r="759">
      <c r="A759" t="inlineStr" s="21">
        <is>
          <t xml:space="preserve">Calculation</t>
        </is>
      </c>
      <c r="B759">
        <f>IF(IF(AND('Editable assumptions'!B16&lt;=DATE(2026,12,1),DATE(2026,12,1)&lt;=DATE(2027,12,1))="",FALSE,AND('Editable assumptions'!B16&lt;=DATE(2026,12,1),DATE(2026,12,1)&lt;=DATE(2027,12,1))),'Monthly forecast and cash'!E29,"")</f>
      </c>
    </row>
    <row r="760">
      <c r="A760" t="inlineStr" s="21">
        <is>
          <t xml:space="preserve">Calculation</t>
        </is>
      </c>
      <c r="B760">
        <f>IF(IF(AND('Editable assumptions'!B16&lt;=DATE(2027,1,1),DATE(2027,1,1)&lt;=DATE(2027,12,1))="",FALSE,AND('Editable assumptions'!B16&lt;=DATE(2027,1,1),DATE(2027,1,1)&lt;=DATE(2027,12,1))),'Monthly forecast and cash'!F29,"")</f>
      </c>
    </row>
    <row r="761">
      <c r="A761" t="inlineStr" s="21">
        <is>
          <t xml:space="preserve">Calculation</t>
        </is>
      </c>
      <c r="B761">
        <f>IF(IF(AND('Editable assumptions'!B16&lt;=DATE(2027,2,1),DATE(2027,2,1)&lt;=DATE(2027,12,1))="",FALSE,AND('Editable assumptions'!B16&lt;=DATE(2027,2,1),DATE(2027,2,1)&lt;=DATE(2027,12,1))),'Monthly forecast and cash'!G29,"")</f>
      </c>
    </row>
    <row r="762">
      <c r="A762" t="inlineStr" s="21">
        <is>
          <t xml:space="preserve">Calculation</t>
        </is>
      </c>
      <c r="B762">
        <f>IF(IF(AND('Editable assumptions'!B16&lt;=DATE(2027,3,1),DATE(2027,3,1)&lt;=DATE(2027,12,1))="",FALSE,AND('Editable assumptions'!B16&lt;=DATE(2027,3,1),DATE(2027,3,1)&lt;=DATE(2027,12,1))),'Monthly forecast and cash'!H29,"")</f>
      </c>
    </row>
    <row r="763">
      <c r="A763" t="inlineStr" s="21">
        <is>
          <t xml:space="preserve">Calculation</t>
        </is>
      </c>
      <c r="B763">
        <f>IF(IF(AND('Editable assumptions'!B16&lt;=DATE(2027,4,1),DATE(2027,4,1)&lt;=DATE(2027,12,1))="",FALSE,AND('Editable assumptions'!B16&lt;=DATE(2027,4,1),DATE(2027,4,1)&lt;=DATE(2027,12,1))),'Monthly forecast and cash'!I29,"")</f>
      </c>
    </row>
    <row r="764">
      <c r="A764" t="inlineStr" s="21">
        <is>
          <t xml:space="preserve">Calculation</t>
        </is>
      </c>
      <c r="B764">
        <f>IF(IF(AND('Editable assumptions'!B16&lt;=DATE(2027,5,1),DATE(2027,5,1)&lt;=DATE(2027,12,1))="",FALSE,AND('Editable assumptions'!B16&lt;=DATE(2027,5,1),DATE(2027,5,1)&lt;=DATE(2027,12,1))),'Monthly forecast and cash'!J29,"")</f>
      </c>
    </row>
    <row r="765">
      <c r="A765" t="inlineStr" s="21">
        <is>
          <t xml:space="preserve">Calculation</t>
        </is>
      </c>
      <c r="B765">
        <f>IF(IF(AND('Editable assumptions'!B16&lt;=DATE(2027,6,1),DATE(2027,6,1)&lt;=DATE(2027,12,1))="",FALSE,AND('Editable assumptions'!B16&lt;=DATE(2027,6,1),DATE(2027,6,1)&lt;=DATE(2027,12,1))),'Monthly forecast and cash'!K29,"")</f>
      </c>
    </row>
    <row r="766">
      <c r="A766" t="inlineStr" s="21">
        <is>
          <t xml:space="preserve">Calculation</t>
        </is>
      </c>
      <c r="B766">
        <f>IF(IF(AND('Editable assumptions'!B16&lt;=DATE(2027,7,1),DATE(2027,7,1)&lt;=DATE(2027,12,1))="",FALSE,AND('Editable assumptions'!B16&lt;=DATE(2027,7,1),DATE(2027,7,1)&lt;=DATE(2027,12,1))),'Monthly forecast and cash'!L29,"")</f>
      </c>
    </row>
    <row r="767">
      <c r="A767" t="inlineStr" s="21">
        <is>
          <t xml:space="preserve">Calculation</t>
        </is>
      </c>
      <c r="B767">
        <f>IF(IF(AND('Editable assumptions'!B16&lt;=DATE(2027,8,1),DATE(2027,8,1)&lt;=DATE(2027,12,1))="",FALSE,AND('Editable assumptions'!B16&lt;=DATE(2027,8,1),DATE(2027,8,1)&lt;=DATE(2027,12,1))),'Monthly forecast and cash'!M29,"")</f>
      </c>
    </row>
    <row r="768">
      <c r="A768" t="inlineStr" s="21">
        <is>
          <t xml:space="preserve">Calculation</t>
        </is>
      </c>
      <c r="B768">
        <f>IF(IF(AND('Editable assumptions'!B16&lt;=DATE(2027,9,1),DATE(2027,9,1)&lt;=DATE(2027,12,1))="",FALSE,AND('Editable assumptions'!B16&lt;=DATE(2027,9,1),DATE(2027,9,1)&lt;=DATE(2027,12,1))),'Monthly forecast and cash'!N29,"")</f>
      </c>
    </row>
    <row r="769">
      <c r="A769" t="inlineStr" s="21">
        <is>
          <t xml:space="preserve">Calculation</t>
        </is>
      </c>
      <c r="B769">
        <f>IF(IF(AND('Editable assumptions'!B16&lt;=DATE(2027,10,1),DATE(2027,10,1)&lt;=DATE(2027,12,1))="",FALSE,AND('Editable assumptions'!B16&lt;=DATE(2027,10,1),DATE(2027,10,1)&lt;=DATE(2027,12,1))),'Monthly forecast and cash'!O29,"")</f>
      </c>
    </row>
    <row r="770">
      <c r="A770" t="inlineStr" s="21">
        <is>
          <t xml:space="preserve">Calculation</t>
        </is>
      </c>
      <c r="B770">
        <f>IF(IF(AND('Editable assumptions'!B16&lt;=DATE(2027,11,1),DATE(2027,11,1)&lt;=DATE(2027,12,1))="",FALSE,AND('Editable assumptions'!B16&lt;=DATE(2027,11,1),DATE(2027,11,1)&lt;=DATE(2027,12,1))),'Monthly forecast and cash'!P29,"")</f>
      </c>
    </row>
    <row r="771">
      <c r="A771" t="inlineStr" s="21">
        <is>
          <t xml:space="preserve">Calculation</t>
        </is>
      </c>
      <c r="B771">
        <f>IF(IF(AND('Editable assumptions'!B16&lt;=DATE(2027,12,1),DATE(2027,12,1)&lt;=DATE(2027,12,1))="",FALSE,AND('Editable assumptions'!B16&lt;=DATE(2027,12,1),DATE(2027,12,1)&lt;=DATE(2027,12,1))),'Monthly forecast and cash'!Q29,"")</f>
      </c>
    </row>
    <row r="772">
      <c r="A772" t="inlineStr" s="21">
        <is>
          <t xml:space="preserve">Calculation</t>
        </is>
      </c>
      <c r="B772">
        <f>IF(IF(AND('Editable assumptions'!B16&lt;=DATE(2028,1,1),DATE(2028,1,1)&lt;=DATE(2027,12,1))="",FALSE,AND('Editable assumptions'!B16&lt;=DATE(2028,1,1),DATE(2028,1,1)&lt;=DATE(2027,12,1))),'Monthly forecast and cash'!R29,"")</f>
      </c>
    </row>
    <row r="773">
      <c r="A773" t="inlineStr" s="21">
        <is>
          <t xml:space="preserve">Calculation</t>
        </is>
      </c>
      <c r="B773">
        <f>IF(IF(AND('Editable assumptions'!B16&lt;=DATE(2028,2,1),DATE(2028,2,1)&lt;=DATE(2027,12,1))="",FALSE,AND('Editable assumptions'!B16&lt;=DATE(2028,2,1),DATE(2028,2,1)&lt;=DATE(2027,12,1))),'Monthly forecast and cash'!S29,"")</f>
      </c>
    </row>
    <row r="774">
      <c r="A774" t="inlineStr" s="21">
        <is>
          <t xml:space="preserve">Calculation</t>
        </is>
      </c>
      <c r="B774">
        <f>IF(IF(AND('Editable assumptions'!B16&lt;=DATE(2028,3,1),DATE(2028,3,1)&lt;=DATE(2027,12,1))="",FALSE,AND('Editable assumptions'!B16&lt;=DATE(2028,3,1),DATE(2028,3,1)&lt;=DATE(2027,12,1))),'Monthly forecast and cash'!T29,"")</f>
      </c>
    </row>
    <row r="775">
      <c r="A775" t="inlineStr" s="21">
        <is>
          <t xml:space="preserve">Calculation</t>
        </is>
      </c>
      <c r="B775">
        <f>IF(IF(AND('Editable assumptions'!B16&lt;=DATE(2028,4,1),DATE(2028,4,1)&lt;=DATE(2027,12,1))="",FALSE,AND('Editable assumptions'!B16&lt;=DATE(2028,4,1),DATE(2028,4,1)&lt;=DATE(2027,12,1))),'Monthly forecast and cash'!U29,"")</f>
      </c>
    </row>
    <row r="776">
      <c r="A776" t="inlineStr" s="21">
        <is>
          <t xml:space="preserve">Calculation</t>
        </is>
      </c>
      <c r="B776">
        <f>IF(IF(AND('Editable assumptions'!B16&lt;=DATE(2028,5,1),DATE(2028,5,1)&lt;=DATE(2027,12,1))="",FALSE,AND('Editable assumptions'!B16&lt;=DATE(2028,5,1),DATE(2028,5,1)&lt;=DATE(2027,12,1))),'Monthly forecast and cash'!V29,"")</f>
      </c>
    </row>
    <row r="777">
      <c r="A777" t="inlineStr" s="21">
        <is>
          <t xml:space="preserve">Calculation</t>
        </is>
      </c>
      <c r="B777">
        <f>IF(IF(AND('Editable assumptions'!B16&lt;=DATE(2028,6,1),DATE(2028,6,1)&lt;=DATE(2027,12,1))="",FALSE,AND('Editable assumptions'!B16&lt;=DATE(2028,6,1),DATE(2028,6,1)&lt;=DATE(2027,12,1))),'Monthly forecast and cash'!W29,"")</f>
      </c>
    </row>
    <row r="778">
      <c r="A778" t="inlineStr" s="21">
        <is>
          <t xml:space="preserve">Calculation</t>
        </is>
      </c>
      <c r="B778">
        <f>IF(IF(AND('Editable assumptions'!B16&lt;=DATE(2028,7,1),DATE(2028,7,1)&lt;=DATE(2027,12,1))="",FALSE,AND('Editable assumptions'!B16&lt;=DATE(2028,7,1),DATE(2028,7,1)&lt;=DATE(2027,12,1))),'Monthly forecast and cash'!X29,"")</f>
      </c>
    </row>
    <row r="779">
      <c r="A779" t="inlineStr" s="21">
        <is>
          <t xml:space="preserve">Calculation</t>
        </is>
      </c>
      <c r="B779">
        <f>IF(IF(AND('Editable assumptions'!B16&lt;=DATE(2028,8,1),DATE(2028,8,1)&lt;=DATE(2027,12,1))="",FALSE,AND('Editable assumptions'!B16&lt;=DATE(2028,8,1),DATE(2028,8,1)&lt;=DATE(2027,12,1))),'Monthly forecast and cash'!Y29,"")</f>
      </c>
    </row>
    <row r="780">
      <c r="A780" t="inlineStr" s="21">
        <is>
          <t xml:space="preserve">Calculation</t>
        </is>
      </c>
      <c r="B780">
        <f>IF(IF(AND('Editable assumptions'!B16&lt;=DATE(2028,9,1),DATE(2028,9,1)&lt;=DATE(2027,12,1))="",FALSE,AND('Editable assumptions'!B16&lt;=DATE(2028,9,1),DATE(2028,9,1)&lt;=DATE(2027,12,1))),'Monthly forecast and cash'!Z29,"")</f>
      </c>
    </row>
    <row r="781">
      <c r="A781" t="inlineStr" s="21">
        <is>
          <t xml:space="preserve">Calculation</t>
        </is>
      </c>
      <c r="B781">
        <f>IF(IF(AND('Editable assumptions'!B16&lt;=DATE(2026,1,1),DATE(2026,1,1)&lt;=DATE(2027,12,1))="",FALSE,AND('Editable assumptions'!B16&lt;=DATE(2026,1,1),DATE(2026,1,1)&lt;=DATE(2027,12,1))),'Model inputs'!D12,"")</f>
      </c>
    </row>
    <row r="782">
      <c r="A782" t="inlineStr" s="21">
        <is>
          <t xml:space="preserve">Calculation</t>
        </is>
      </c>
      <c r="B782">
        <f>IF(IF(AND('Editable assumptions'!B16&lt;=DATE(2026,2,1),DATE(2026,2,1)&lt;=DATE(2027,12,1))="",FALSE,AND('Editable assumptions'!B16&lt;=DATE(2026,2,1),DATE(2026,2,1)&lt;=DATE(2027,12,1))),'Model inputs'!E12,"")</f>
      </c>
    </row>
    <row r="783">
      <c r="A783" t="inlineStr" s="21">
        <is>
          <t xml:space="preserve">Calculation</t>
        </is>
      </c>
      <c r="B783">
        <f>IF(IF(AND('Editable assumptions'!B16&lt;=DATE(2026,3,1),DATE(2026,3,1)&lt;=DATE(2027,12,1))="",FALSE,AND('Editable assumptions'!B16&lt;=DATE(2026,3,1),DATE(2026,3,1)&lt;=DATE(2027,12,1))),'Model inputs'!F12,"")</f>
      </c>
    </row>
    <row r="784">
      <c r="A784" t="inlineStr" s="21">
        <is>
          <t xml:space="preserve">Calculation</t>
        </is>
      </c>
      <c r="B784">
        <f>IF(IF(AND('Editable assumptions'!B16&lt;=DATE(2026,4,1),DATE(2026,4,1)&lt;=DATE(2027,12,1))="",FALSE,AND('Editable assumptions'!B16&lt;=DATE(2026,4,1),DATE(2026,4,1)&lt;=DATE(2027,12,1))),'Model inputs'!G12,"")</f>
      </c>
    </row>
    <row r="785">
      <c r="A785" t="inlineStr" s="21">
        <is>
          <t xml:space="preserve">Calculation</t>
        </is>
      </c>
      <c r="B785">
        <f>IF(IF(AND('Editable assumptions'!B16&lt;=DATE(2026,5,1),DATE(2026,5,1)&lt;=DATE(2027,12,1))="",FALSE,AND('Editable assumptions'!B16&lt;=DATE(2026,5,1),DATE(2026,5,1)&lt;=DATE(2027,12,1))),'Model inputs'!H12,"")</f>
      </c>
    </row>
    <row r="786">
      <c r="A786" t="inlineStr" s="21">
        <is>
          <t xml:space="preserve">Calculation</t>
        </is>
      </c>
      <c r="B786">
        <f>IF(IF(AND('Editable assumptions'!B16&lt;=DATE(2026,6,1),DATE(2026,6,1)&lt;=DATE(2027,12,1))="",FALSE,AND('Editable assumptions'!B16&lt;=DATE(2026,6,1),DATE(2026,6,1)&lt;=DATE(2027,12,1))),'Model inputs'!I12,"")</f>
      </c>
    </row>
    <row r="787">
      <c r="A787" t="inlineStr" s="21">
        <is>
          <t xml:space="preserve">Calculation</t>
        </is>
      </c>
      <c r="B787">
        <f>IF(IF(AND('Editable assumptions'!B16&lt;=DATE(2026,7,1),DATE(2026,7,1)&lt;=DATE(2027,12,1))="",FALSE,AND('Editable assumptions'!B16&lt;=DATE(2026,7,1),DATE(2026,7,1)&lt;=DATE(2027,12,1))),'Model inputs'!J12,"")</f>
      </c>
    </row>
    <row r="788">
      <c r="A788" t="inlineStr" s="21">
        <is>
          <t xml:space="preserve">Calculation</t>
        </is>
      </c>
      <c r="B788">
        <f>IF(IF(AND('Editable assumptions'!B16&lt;=DATE(2026,8,1),DATE(2026,8,1)&lt;=DATE(2027,12,1))="",FALSE,AND('Editable assumptions'!B16&lt;=DATE(2026,8,1),DATE(2026,8,1)&lt;=DATE(2027,12,1))),'Model inputs'!K12,"")</f>
      </c>
    </row>
    <row r="789">
      <c r="A789" t="inlineStr" s="21">
        <is>
          <t xml:space="preserve">Calculation</t>
        </is>
      </c>
      <c r="B789">
        <f>IF(AND('Model inputs'!B756="",'Model inputs'!B757="",'Model inputs'!B758="",'Model inputs'!B759="",'Model inputs'!B760="",'Model inputs'!B761="",'Model inputs'!B762="",'Model inputs'!B763="",'Model inputs'!B764="",'Model inputs'!B765="",'Model inputs'!B766="",'Model inputs'!B767="",'Model inputs'!B768="",'Model inputs'!B769="",'Model inputs'!B770="",'Model inputs'!B771="",'Model inputs'!B772="",'Model inputs'!B773="",'Model inputs'!B774="",'Model inputs'!B775="",'Model inputs'!B776="",'Model inputs'!B777="",'Model inputs'!B778="",'Model inputs'!B779="",'Model inputs'!B780="",'Model inputs'!B781="",'Model inputs'!B782="",'Model inputs'!B783="",'Model inputs'!B784="",'Model inputs'!B785="",'Model inputs'!B786="",'Model inputs'!B787="",'Model inputs'!B788=""),"",MIN('Model inputs'!B756,'Model inputs'!B757,'Model inputs'!B758,'Model inputs'!B759,'Model inputs'!B760,'Model inputs'!B761,'Model inputs'!B762,'Model inputs'!B763,'Model inputs'!B764,'Model inputs'!B765,'Model inputs'!B766,'Model inputs'!B767,'Model inputs'!B768,'Model inputs'!B769,'Model inputs'!B770,'Model inputs'!B771,'Model inputs'!B772,'Model inputs'!B773,'Model inputs'!B774,'Model inputs'!B775,'Model inputs'!B776,'Model inputs'!B777,'Model inputs'!B778,'Model inputs'!B779,'Model inputs'!B780,'Model inputs'!B781,'Model inputs'!B782,'Model inputs'!B783,'Model inputs'!B784,'Model inputs'!B785,'Model inputs'!B786,'Model inputs'!B787,'Model inputs'!B788))</f>
      </c>
    </row>
    <row r="790">
      <c r="A790" t="inlineStr" s="21">
        <is>
          <t xml:space="preserve">Calculation</t>
        </is>
      </c>
      <c r="B790">
        <f>IF(IF(AND('Editable assumptions'!B16&lt;=DATE(2026,9,1),DATE(2026,9,1)&lt;=DATE(2028,1,1))="",FALSE,AND('Editable assumptions'!B16&lt;=DATE(2026,9,1),DATE(2026,9,1)&lt;=DATE(2028,1,1))),'Monthly forecast and cash'!B29,"")</f>
      </c>
    </row>
    <row r="791">
      <c r="A791" t="inlineStr" s="21">
        <is>
          <t xml:space="preserve">Calculation</t>
        </is>
      </c>
      <c r="B791">
        <f>IF(IF(AND('Editable assumptions'!B16&lt;=DATE(2026,10,1),DATE(2026,10,1)&lt;=DATE(2028,1,1))="",FALSE,AND('Editable assumptions'!B16&lt;=DATE(2026,10,1),DATE(2026,10,1)&lt;=DATE(2028,1,1))),'Monthly forecast and cash'!C29,"")</f>
      </c>
    </row>
    <row r="792">
      <c r="A792" t="inlineStr" s="21">
        <is>
          <t xml:space="preserve">Calculation</t>
        </is>
      </c>
      <c r="B792">
        <f>IF(IF(AND('Editable assumptions'!B16&lt;=DATE(2026,11,1),DATE(2026,11,1)&lt;=DATE(2028,1,1))="",FALSE,AND('Editable assumptions'!B16&lt;=DATE(2026,11,1),DATE(2026,11,1)&lt;=DATE(2028,1,1))),'Monthly forecast and cash'!D29,"")</f>
      </c>
    </row>
    <row r="793">
      <c r="A793" t="inlineStr" s="21">
        <is>
          <t xml:space="preserve">Calculation</t>
        </is>
      </c>
      <c r="B793">
        <f>IF(IF(AND('Editable assumptions'!B16&lt;=DATE(2026,12,1),DATE(2026,12,1)&lt;=DATE(2028,1,1))="",FALSE,AND('Editable assumptions'!B16&lt;=DATE(2026,12,1),DATE(2026,12,1)&lt;=DATE(2028,1,1))),'Monthly forecast and cash'!E29,"")</f>
      </c>
    </row>
    <row r="794">
      <c r="A794" t="inlineStr" s="21">
        <is>
          <t xml:space="preserve">Calculation</t>
        </is>
      </c>
      <c r="B794">
        <f>IF(IF(AND('Editable assumptions'!B16&lt;=DATE(2027,1,1),DATE(2027,1,1)&lt;=DATE(2028,1,1))="",FALSE,AND('Editable assumptions'!B16&lt;=DATE(2027,1,1),DATE(2027,1,1)&lt;=DATE(2028,1,1))),'Monthly forecast and cash'!F29,"")</f>
      </c>
    </row>
    <row r="795">
      <c r="A795" t="inlineStr" s="21">
        <is>
          <t xml:space="preserve">Calculation</t>
        </is>
      </c>
      <c r="B795">
        <f>IF(IF(AND('Editable assumptions'!B16&lt;=DATE(2027,2,1),DATE(2027,2,1)&lt;=DATE(2028,1,1))="",FALSE,AND('Editable assumptions'!B16&lt;=DATE(2027,2,1),DATE(2027,2,1)&lt;=DATE(2028,1,1))),'Monthly forecast and cash'!G29,"")</f>
      </c>
    </row>
    <row r="796">
      <c r="A796" t="inlineStr" s="21">
        <is>
          <t xml:space="preserve">Calculation</t>
        </is>
      </c>
      <c r="B796">
        <f>IF(IF(AND('Editable assumptions'!B16&lt;=DATE(2027,3,1),DATE(2027,3,1)&lt;=DATE(2028,1,1))="",FALSE,AND('Editable assumptions'!B16&lt;=DATE(2027,3,1),DATE(2027,3,1)&lt;=DATE(2028,1,1))),'Monthly forecast and cash'!H29,"")</f>
      </c>
    </row>
    <row r="797">
      <c r="A797" t="inlineStr" s="21">
        <is>
          <t xml:space="preserve">Calculation</t>
        </is>
      </c>
      <c r="B797">
        <f>IF(IF(AND('Editable assumptions'!B16&lt;=DATE(2027,4,1),DATE(2027,4,1)&lt;=DATE(2028,1,1))="",FALSE,AND('Editable assumptions'!B16&lt;=DATE(2027,4,1),DATE(2027,4,1)&lt;=DATE(2028,1,1))),'Monthly forecast and cash'!I29,"")</f>
      </c>
    </row>
    <row r="798">
      <c r="A798" t="inlineStr" s="21">
        <is>
          <t xml:space="preserve">Calculation</t>
        </is>
      </c>
      <c r="B798">
        <f>IF(IF(AND('Editable assumptions'!B16&lt;=DATE(2027,5,1),DATE(2027,5,1)&lt;=DATE(2028,1,1))="",FALSE,AND('Editable assumptions'!B16&lt;=DATE(2027,5,1),DATE(2027,5,1)&lt;=DATE(2028,1,1))),'Monthly forecast and cash'!J29,"")</f>
      </c>
    </row>
    <row r="799">
      <c r="A799" t="inlineStr" s="21">
        <is>
          <t xml:space="preserve">Calculation</t>
        </is>
      </c>
      <c r="B799">
        <f>IF(IF(AND('Editable assumptions'!B16&lt;=DATE(2027,6,1),DATE(2027,6,1)&lt;=DATE(2028,1,1))="",FALSE,AND('Editable assumptions'!B16&lt;=DATE(2027,6,1),DATE(2027,6,1)&lt;=DATE(2028,1,1))),'Monthly forecast and cash'!K29,"")</f>
      </c>
    </row>
    <row r="800">
      <c r="A800" t="inlineStr" s="21">
        <is>
          <t xml:space="preserve">Calculation</t>
        </is>
      </c>
      <c r="B800">
        <f>IF(IF(AND('Editable assumptions'!B16&lt;=DATE(2027,7,1),DATE(2027,7,1)&lt;=DATE(2028,1,1))="",FALSE,AND('Editable assumptions'!B16&lt;=DATE(2027,7,1),DATE(2027,7,1)&lt;=DATE(2028,1,1))),'Monthly forecast and cash'!L29,"")</f>
      </c>
    </row>
    <row r="801">
      <c r="A801" t="inlineStr" s="21">
        <is>
          <t xml:space="preserve">Calculation</t>
        </is>
      </c>
      <c r="B801">
        <f>IF(IF(AND('Editable assumptions'!B16&lt;=DATE(2027,8,1),DATE(2027,8,1)&lt;=DATE(2028,1,1))="",FALSE,AND('Editable assumptions'!B16&lt;=DATE(2027,8,1),DATE(2027,8,1)&lt;=DATE(2028,1,1))),'Monthly forecast and cash'!M29,"")</f>
      </c>
    </row>
    <row r="802">
      <c r="A802" t="inlineStr" s="21">
        <is>
          <t xml:space="preserve">Calculation</t>
        </is>
      </c>
      <c r="B802">
        <f>IF(IF(AND('Editable assumptions'!B16&lt;=DATE(2027,9,1),DATE(2027,9,1)&lt;=DATE(2028,1,1))="",FALSE,AND('Editable assumptions'!B16&lt;=DATE(2027,9,1),DATE(2027,9,1)&lt;=DATE(2028,1,1))),'Monthly forecast and cash'!N29,"")</f>
      </c>
    </row>
    <row r="803">
      <c r="A803" t="inlineStr" s="21">
        <is>
          <t xml:space="preserve">Calculation</t>
        </is>
      </c>
      <c r="B803">
        <f>IF(IF(AND('Editable assumptions'!B16&lt;=DATE(2027,10,1),DATE(2027,10,1)&lt;=DATE(2028,1,1))="",FALSE,AND('Editable assumptions'!B16&lt;=DATE(2027,10,1),DATE(2027,10,1)&lt;=DATE(2028,1,1))),'Monthly forecast and cash'!O29,"")</f>
      </c>
    </row>
    <row r="804">
      <c r="A804" t="inlineStr" s="21">
        <is>
          <t xml:space="preserve">Calculation</t>
        </is>
      </c>
      <c r="B804">
        <f>IF(IF(AND('Editable assumptions'!B16&lt;=DATE(2027,11,1),DATE(2027,11,1)&lt;=DATE(2028,1,1))="",FALSE,AND('Editable assumptions'!B16&lt;=DATE(2027,11,1),DATE(2027,11,1)&lt;=DATE(2028,1,1))),'Monthly forecast and cash'!P29,"")</f>
      </c>
    </row>
    <row r="805">
      <c r="A805" t="inlineStr" s="21">
        <is>
          <t xml:space="preserve">Calculation</t>
        </is>
      </c>
      <c r="B805">
        <f>IF(IF(AND('Editable assumptions'!B16&lt;=DATE(2027,12,1),DATE(2027,12,1)&lt;=DATE(2028,1,1))="",FALSE,AND('Editable assumptions'!B16&lt;=DATE(2027,12,1),DATE(2027,12,1)&lt;=DATE(2028,1,1))),'Monthly forecast and cash'!Q29,"")</f>
      </c>
    </row>
    <row r="806">
      <c r="A806" t="inlineStr" s="21">
        <is>
          <t xml:space="preserve">Calculation</t>
        </is>
      </c>
      <c r="B806">
        <f>IF(IF(AND('Editable assumptions'!B16&lt;=DATE(2028,1,1),DATE(2028,1,1)&lt;=DATE(2028,1,1))="",FALSE,AND('Editable assumptions'!B16&lt;=DATE(2028,1,1),DATE(2028,1,1)&lt;=DATE(2028,1,1))),'Monthly forecast and cash'!R29,"")</f>
      </c>
    </row>
    <row r="807">
      <c r="A807" t="inlineStr" s="21">
        <is>
          <t xml:space="preserve">Calculation</t>
        </is>
      </c>
      <c r="B807">
        <f>IF(IF(AND('Editable assumptions'!B16&lt;=DATE(2028,2,1),DATE(2028,2,1)&lt;=DATE(2028,1,1))="",FALSE,AND('Editable assumptions'!B16&lt;=DATE(2028,2,1),DATE(2028,2,1)&lt;=DATE(2028,1,1))),'Monthly forecast and cash'!S29,"")</f>
      </c>
    </row>
    <row r="808">
      <c r="A808" t="inlineStr" s="21">
        <is>
          <t xml:space="preserve">Calculation</t>
        </is>
      </c>
      <c r="B808">
        <f>IF(IF(AND('Editable assumptions'!B16&lt;=DATE(2028,3,1),DATE(2028,3,1)&lt;=DATE(2028,1,1))="",FALSE,AND('Editable assumptions'!B16&lt;=DATE(2028,3,1),DATE(2028,3,1)&lt;=DATE(2028,1,1))),'Monthly forecast and cash'!T29,"")</f>
      </c>
    </row>
    <row r="809">
      <c r="A809" t="inlineStr" s="21">
        <is>
          <t xml:space="preserve">Calculation</t>
        </is>
      </c>
      <c r="B809">
        <f>IF(IF(AND('Editable assumptions'!B16&lt;=DATE(2028,4,1),DATE(2028,4,1)&lt;=DATE(2028,1,1))="",FALSE,AND('Editable assumptions'!B16&lt;=DATE(2028,4,1),DATE(2028,4,1)&lt;=DATE(2028,1,1))),'Monthly forecast and cash'!U29,"")</f>
      </c>
    </row>
    <row r="810">
      <c r="A810" t="inlineStr" s="21">
        <is>
          <t xml:space="preserve">Calculation</t>
        </is>
      </c>
      <c r="B810">
        <f>IF(IF(AND('Editable assumptions'!B16&lt;=DATE(2028,5,1),DATE(2028,5,1)&lt;=DATE(2028,1,1))="",FALSE,AND('Editable assumptions'!B16&lt;=DATE(2028,5,1),DATE(2028,5,1)&lt;=DATE(2028,1,1))),'Monthly forecast and cash'!V29,"")</f>
      </c>
    </row>
    <row r="811">
      <c r="A811" t="inlineStr" s="21">
        <is>
          <t xml:space="preserve">Calculation</t>
        </is>
      </c>
      <c r="B811">
        <f>IF(IF(AND('Editable assumptions'!B16&lt;=DATE(2028,6,1),DATE(2028,6,1)&lt;=DATE(2028,1,1))="",FALSE,AND('Editable assumptions'!B16&lt;=DATE(2028,6,1),DATE(2028,6,1)&lt;=DATE(2028,1,1))),'Monthly forecast and cash'!W29,"")</f>
      </c>
    </row>
    <row r="812">
      <c r="A812" t="inlineStr" s="21">
        <is>
          <t xml:space="preserve">Calculation</t>
        </is>
      </c>
      <c r="B812">
        <f>IF(IF(AND('Editable assumptions'!B16&lt;=DATE(2028,7,1),DATE(2028,7,1)&lt;=DATE(2028,1,1))="",FALSE,AND('Editable assumptions'!B16&lt;=DATE(2028,7,1),DATE(2028,7,1)&lt;=DATE(2028,1,1))),'Monthly forecast and cash'!X29,"")</f>
      </c>
    </row>
    <row r="813">
      <c r="A813" t="inlineStr" s="21">
        <is>
          <t xml:space="preserve">Calculation</t>
        </is>
      </c>
      <c r="B813">
        <f>IF(IF(AND('Editable assumptions'!B16&lt;=DATE(2028,8,1),DATE(2028,8,1)&lt;=DATE(2028,1,1))="",FALSE,AND('Editable assumptions'!B16&lt;=DATE(2028,8,1),DATE(2028,8,1)&lt;=DATE(2028,1,1))),'Monthly forecast and cash'!Y29,"")</f>
      </c>
    </row>
    <row r="814">
      <c r="A814" t="inlineStr" s="21">
        <is>
          <t xml:space="preserve">Calculation</t>
        </is>
      </c>
      <c r="B814">
        <f>IF(IF(AND('Editable assumptions'!B16&lt;=DATE(2028,9,1),DATE(2028,9,1)&lt;=DATE(2028,1,1))="",FALSE,AND('Editable assumptions'!B16&lt;=DATE(2028,9,1),DATE(2028,9,1)&lt;=DATE(2028,1,1))),'Monthly forecast and cash'!Z29,"")</f>
      </c>
    </row>
    <row r="815">
      <c r="A815" t="inlineStr" s="21">
        <is>
          <t xml:space="preserve">Calculation</t>
        </is>
      </c>
      <c r="B815">
        <f>IF(IF(AND('Editable assumptions'!B16&lt;=DATE(2026,1,1),DATE(2026,1,1)&lt;=DATE(2028,1,1))="",FALSE,AND('Editable assumptions'!B16&lt;=DATE(2026,1,1),DATE(2026,1,1)&lt;=DATE(2028,1,1))),'Model inputs'!D12,"")</f>
      </c>
    </row>
    <row r="816">
      <c r="A816" t="inlineStr" s="21">
        <is>
          <t xml:space="preserve">Calculation</t>
        </is>
      </c>
      <c r="B816">
        <f>IF(IF(AND('Editable assumptions'!B16&lt;=DATE(2026,2,1),DATE(2026,2,1)&lt;=DATE(2028,1,1))="",FALSE,AND('Editable assumptions'!B16&lt;=DATE(2026,2,1),DATE(2026,2,1)&lt;=DATE(2028,1,1))),'Model inputs'!E12,"")</f>
      </c>
    </row>
    <row r="817">
      <c r="A817" t="inlineStr" s="21">
        <is>
          <t xml:space="preserve">Calculation</t>
        </is>
      </c>
      <c r="B817">
        <f>IF(IF(AND('Editable assumptions'!B16&lt;=DATE(2026,3,1),DATE(2026,3,1)&lt;=DATE(2028,1,1))="",FALSE,AND('Editable assumptions'!B16&lt;=DATE(2026,3,1),DATE(2026,3,1)&lt;=DATE(2028,1,1))),'Model inputs'!F12,"")</f>
      </c>
    </row>
    <row r="818">
      <c r="A818" t="inlineStr" s="21">
        <is>
          <t xml:space="preserve">Calculation</t>
        </is>
      </c>
      <c r="B818">
        <f>IF(IF(AND('Editable assumptions'!B16&lt;=DATE(2026,4,1),DATE(2026,4,1)&lt;=DATE(2028,1,1))="",FALSE,AND('Editable assumptions'!B16&lt;=DATE(2026,4,1),DATE(2026,4,1)&lt;=DATE(2028,1,1))),'Model inputs'!G12,"")</f>
      </c>
    </row>
    <row r="819">
      <c r="A819" t="inlineStr" s="21">
        <is>
          <t xml:space="preserve">Calculation</t>
        </is>
      </c>
      <c r="B819">
        <f>IF(IF(AND('Editable assumptions'!B16&lt;=DATE(2026,5,1),DATE(2026,5,1)&lt;=DATE(2028,1,1))="",FALSE,AND('Editable assumptions'!B16&lt;=DATE(2026,5,1),DATE(2026,5,1)&lt;=DATE(2028,1,1))),'Model inputs'!H12,"")</f>
      </c>
    </row>
    <row r="820">
      <c r="A820" t="inlineStr" s="21">
        <is>
          <t xml:space="preserve">Calculation</t>
        </is>
      </c>
      <c r="B820">
        <f>IF(IF(AND('Editable assumptions'!B16&lt;=DATE(2026,6,1),DATE(2026,6,1)&lt;=DATE(2028,1,1))="",FALSE,AND('Editable assumptions'!B16&lt;=DATE(2026,6,1),DATE(2026,6,1)&lt;=DATE(2028,1,1))),'Model inputs'!I12,"")</f>
      </c>
    </row>
    <row r="821">
      <c r="A821" t="inlineStr" s="21">
        <is>
          <t xml:space="preserve">Calculation</t>
        </is>
      </c>
      <c r="B821">
        <f>IF(IF(AND('Editable assumptions'!B16&lt;=DATE(2026,7,1),DATE(2026,7,1)&lt;=DATE(2028,1,1))="",FALSE,AND('Editable assumptions'!B16&lt;=DATE(2026,7,1),DATE(2026,7,1)&lt;=DATE(2028,1,1))),'Model inputs'!J12,"")</f>
      </c>
    </row>
    <row r="822">
      <c r="A822" t="inlineStr" s="21">
        <is>
          <t xml:space="preserve">Calculation</t>
        </is>
      </c>
      <c r="B822">
        <f>IF(IF(AND('Editable assumptions'!B16&lt;=DATE(2026,8,1),DATE(2026,8,1)&lt;=DATE(2028,1,1))="",FALSE,AND('Editable assumptions'!B16&lt;=DATE(2026,8,1),DATE(2026,8,1)&lt;=DATE(2028,1,1))),'Model inputs'!K12,"")</f>
      </c>
    </row>
    <row r="823">
      <c r="A823" t="inlineStr" s="21">
        <is>
          <t xml:space="preserve">Calculation</t>
        </is>
      </c>
      <c r="B823">
        <f>IF(AND('Model inputs'!B790="",'Model inputs'!B791="",'Model inputs'!B792="",'Model inputs'!B793="",'Model inputs'!B794="",'Model inputs'!B795="",'Model inputs'!B796="",'Model inputs'!B797="",'Model inputs'!B798="",'Model inputs'!B799="",'Model inputs'!B800="",'Model inputs'!B801="",'Model inputs'!B802="",'Model inputs'!B803="",'Model inputs'!B804="",'Model inputs'!B805="",'Model inputs'!B806="",'Model inputs'!B807="",'Model inputs'!B808="",'Model inputs'!B809="",'Model inputs'!B810="",'Model inputs'!B811="",'Model inputs'!B812="",'Model inputs'!B813="",'Model inputs'!B814="",'Model inputs'!B815="",'Model inputs'!B816="",'Model inputs'!B817="",'Model inputs'!B818="",'Model inputs'!B819="",'Model inputs'!B820="",'Model inputs'!B821="",'Model inputs'!B822=""),"",MIN('Model inputs'!B790,'Model inputs'!B791,'Model inputs'!B792,'Model inputs'!B793,'Model inputs'!B794,'Model inputs'!B795,'Model inputs'!B796,'Model inputs'!B797,'Model inputs'!B798,'Model inputs'!B799,'Model inputs'!B800,'Model inputs'!B801,'Model inputs'!B802,'Model inputs'!B803,'Model inputs'!B804,'Model inputs'!B805,'Model inputs'!B806,'Model inputs'!B807,'Model inputs'!B808,'Model inputs'!B809,'Model inputs'!B810,'Model inputs'!B811,'Model inputs'!B812,'Model inputs'!B813,'Model inputs'!B814,'Model inputs'!B815,'Model inputs'!B816,'Model inputs'!B817,'Model inputs'!B818,'Model inputs'!B819,'Model inputs'!B820,'Model inputs'!B821,'Model inputs'!B822))</f>
      </c>
    </row>
    <row r="824">
      <c r="A824" t="inlineStr" s="21">
        <is>
          <t xml:space="preserve">Calculation</t>
        </is>
      </c>
      <c r="B824">
        <f>IF(IF(AND('Editable assumptions'!B16&lt;=DATE(2026,9,1),DATE(2026,9,1)&lt;=DATE(2028,2,1))="",FALSE,AND('Editable assumptions'!B16&lt;=DATE(2026,9,1),DATE(2026,9,1)&lt;=DATE(2028,2,1))),'Monthly forecast and cash'!B29,"")</f>
      </c>
    </row>
    <row r="825">
      <c r="A825" t="inlineStr" s="21">
        <is>
          <t xml:space="preserve">Calculation</t>
        </is>
      </c>
      <c r="B825">
        <f>IF(IF(AND('Editable assumptions'!B16&lt;=DATE(2026,10,1),DATE(2026,10,1)&lt;=DATE(2028,2,1))="",FALSE,AND('Editable assumptions'!B16&lt;=DATE(2026,10,1),DATE(2026,10,1)&lt;=DATE(2028,2,1))),'Monthly forecast and cash'!C29,"")</f>
      </c>
    </row>
    <row r="826">
      <c r="A826" t="inlineStr" s="21">
        <is>
          <t xml:space="preserve">Calculation</t>
        </is>
      </c>
      <c r="B826">
        <f>IF(IF(AND('Editable assumptions'!B16&lt;=DATE(2026,11,1),DATE(2026,11,1)&lt;=DATE(2028,2,1))="",FALSE,AND('Editable assumptions'!B16&lt;=DATE(2026,11,1),DATE(2026,11,1)&lt;=DATE(2028,2,1))),'Monthly forecast and cash'!D29,"")</f>
      </c>
    </row>
    <row r="827">
      <c r="A827" t="inlineStr" s="21">
        <is>
          <t xml:space="preserve">Calculation</t>
        </is>
      </c>
      <c r="B827">
        <f>IF(IF(AND('Editable assumptions'!B16&lt;=DATE(2026,12,1),DATE(2026,12,1)&lt;=DATE(2028,2,1))="",FALSE,AND('Editable assumptions'!B16&lt;=DATE(2026,12,1),DATE(2026,12,1)&lt;=DATE(2028,2,1))),'Monthly forecast and cash'!E29,"")</f>
      </c>
    </row>
    <row r="828">
      <c r="A828" t="inlineStr" s="21">
        <is>
          <t xml:space="preserve">Calculation</t>
        </is>
      </c>
      <c r="B828">
        <f>IF(IF(AND('Editable assumptions'!B16&lt;=DATE(2027,1,1),DATE(2027,1,1)&lt;=DATE(2028,2,1))="",FALSE,AND('Editable assumptions'!B16&lt;=DATE(2027,1,1),DATE(2027,1,1)&lt;=DATE(2028,2,1))),'Monthly forecast and cash'!F29,"")</f>
      </c>
    </row>
    <row r="829">
      <c r="A829" t="inlineStr" s="21">
        <is>
          <t xml:space="preserve">Calculation</t>
        </is>
      </c>
      <c r="B829">
        <f>IF(IF(AND('Editable assumptions'!B16&lt;=DATE(2027,2,1),DATE(2027,2,1)&lt;=DATE(2028,2,1))="",FALSE,AND('Editable assumptions'!B16&lt;=DATE(2027,2,1),DATE(2027,2,1)&lt;=DATE(2028,2,1))),'Monthly forecast and cash'!G29,"")</f>
      </c>
    </row>
    <row r="830">
      <c r="A830" t="inlineStr" s="21">
        <is>
          <t xml:space="preserve">Calculation</t>
        </is>
      </c>
      <c r="B830">
        <f>IF(IF(AND('Editable assumptions'!B16&lt;=DATE(2027,3,1),DATE(2027,3,1)&lt;=DATE(2028,2,1))="",FALSE,AND('Editable assumptions'!B16&lt;=DATE(2027,3,1),DATE(2027,3,1)&lt;=DATE(2028,2,1))),'Monthly forecast and cash'!H29,"")</f>
      </c>
    </row>
    <row r="831">
      <c r="A831" t="inlineStr" s="21">
        <is>
          <t xml:space="preserve">Calculation</t>
        </is>
      </c>
      <c r="B831">
        <f>IF(IF(AND('Editable assumptions'!B16&lt;=DATE(2027,4,1),DATE(2027,4,1)&lt;=DATE(2028,2,1))="",FALSE,AND('Editable assumptions'!B16&lt;=DATE(2027,4,1),DATE(2027,4,1)&lt;=DATE(2028,2,1))),'Monthly forecast and cash'!I29,"")</f>
      </c>
    </row>
    <row r="832">
      <c r="A832" t="inlineStr" s="21">
        <is>
          <t xml:space="preserve">Calculation</t>
        </is>
      </c>
      <c r="B832">
        <f>IF(IF(AND('Editable assumptions'!B16&lt;=DATE(2027,5,1),DATE(2027,5,1)&lt;=DATE(2028,2,1))="",FALSE,AND('Editable assumptions'!B16&lt;=DATE(2027,5,1),DATE(2027,5,1)&lt;=DATE(2028,2,1))),'Monthly forecast and cash'!J29,"")</f>
      </c>
    </row>
    <row r="833">
      <c r="A833" t="inlineStr" s="21">
        <is>
          <t xml:space="preserve">Calculation</t>
        </is>
      </c>
      <c r="B833">
        <f>IF(IF(AND('Editable assumptions'!B16&lt;=DATE(2027,6,1),DATE(2027,6,1)&lt;=DATE(2028,2,1))="",FALSE,AND('Editable assumptions'!B16&lt;=DATE(2027,6,1),DATE(2027,6,1)&lt;=DATE(2028,2,1))),'Monthly forecast and cash'!K29,"")</f>
      </c>
    </row>
    <row r="834">
      <c r="A834" t="inlineStr" s="21">
        <is>
          <t xml:space="preserve">Calculation</t>
        </is>
      </c>
      <c r="B834">
        <f>IF(IF(AND('Editable assumptions'!B16&lt;=DATE(2027,7,1),DATE(2027,7,1)&lt;=DATE(2028,2,1))="",FALSE,AND('Editable assumptions'!B16&lt;=DATE(2027,7,1),DATE(2027,7,1)&lt;=DATE(2028,2,1))),'Monthly forecast and cash'!L29,"")</f>
      </c>
    </row>
    <row r="835">
      <c r="A835" t="inlineStr" s="21">
        <is>
          <t xml:space="preserve">Calculation</t>
        </is>
      </c>
      <c r="B835">
        <f>IF(IF(AND('Editable assumptions'!B16&lt;=DATE(2027,8,1),DATE(2027,8,1)&lt;=DATE(2028,2,1))="",FALSE,AND('Editable assumptions'!B16&lt;=DATE(2027,8,1),DATE(2027,8,1)&lt;=DATE(2028,2,1))),'Monthly forecast and cash'!M29,"")</f>
      </c>
    </row>
    <row r="836">
      <c r="A836" t="inlineStr" s="21">
        <is>
          <t xml:space="preserve">Calculation</t>
        </is>
      </c>
      <c r="B836">
        <f>IF(IF(AND('Editable assumptions'!B16&lt;=DATE(2027,9,1),DATE(2027,9,1)&lt;=DATE(2028,2,1))="",FALSE,AND('Editable assumptions'!B16&lt;=DATE(2027,9,1),DATE(2027,9,1)&lt;=DATE(2028,2,1))),'Monthly forecast and cash'!N29,"")</f>
      </c>
    </row>
    <row r="837">
      <c r="A837" t="inlineStr" s="21">
        <is>
          <t xml:space="preserve">Calculation</t>
        </is>
      </c>
      <c r="B837">
        <f>IF(IF(AND('Editable assumptions'!B16&lt;=DATE(2027,10,1),DATE(2027,10,1)&lt;=DATE(2028,2,1))="",FALSE,AND('Editable assumptions'!B16&lt;=DATE(2027,10,1),DATE(2027,10,1)&lt;=DATE(2028,2,1))),'Monthly forecast and cash'!O29,"")</f>
      </c>
    </row>
    <row r="838">
      <c r="A838" t="inlineStr" s="21">
        <is>
          <t xml:space="preserve">Calculation</t>
        </is>
      </c>
      <c r="B838">
        <f>IF(IF(AND('Editable assumptions'!B16&lt;=DATE(2027,11,1),DATE(2027,11,1)&lt;=DATE(2028,2,1))="",FALSE,AND('Editable assumptions'!B16&lt;=DATE(2027,11,1),DATE(2027,11,1)&lt;=DATE(2028,2,1))),'Monthly forecast and cash'!P29,"")</f>
      </c>
    </row>
    <row r="839">
      <c r="A839" t="inlineStr" s="21">
        <is>
          <t xml:space="preserve">Calculation</t>
        </is>
      </c>
      <c r="B839">
        <f>IF(IF(AND('Editable assumptions'!B16&lt;=DATE(2027,12,1),DATE(2027,12,1)&lt;=DATE(2028,2,1))="",FALSE,AND('Editable assumptions'!B16&lt;=DATE(2027,12,1),DATE(2027,12,1)&lt;=DATE(2028,2,1))),'Monthly forecast and cash'!Q29,"")</f>
      </c>
    </row>
    <row r="840">
      <c r="A840" t="inlineStr" s="21">
        <is>
          <t xml:space="preserve">Calculation</t>
        </is>
      </c>
      <c r="B840">
        <f>IF(IF(AND('Editable assumptions'!B16&lt;=DATE(2028,1,1),DATE(2028,1,1)&lt;=DATE(2028,2,1))="",FALSE,AND('Editable assumptions'!B16&lt;=DATE(2028,1,1),DATE(2028,1,1)&lt;=DATE(2028,2,1))),'Monthly forecast and cash'!R29,"")</f>
      </c>
    </row>
    <row r="841">
      <c r="A841" t="inlineStr" s="21">
        <is>
          <t xml:space="preserve">Calculation</t>
        </is>
      </c>
      <c r="B841">
        <f>IF(IF(AND('Editable assumptions'!B16&lt;=DATE(2028,2,1),DATE(2028,2,1)&lt;=DATE(2028,2,1))="",FALSE,AND('Editable assumptions'!B16&lt;=DATE(2028,2,1),DATE(2028,2,1)&lt;=DATE(2028,2,1))),'Monthly forecast and cash'!S29,"")</f>
      </c>
    </row>
    <row r="842">
      <c r="A842" t="inlineStr" s="21">
        <is>
          <t xml:space="preserve">Calculation</t>
        </is>
      </c>
      <c r="B842">
        <f>IF(IF(AND('Editable assumptions'!B16&lt;=DATE(2028,3,1),DATE(2028,3,1)&lt;=DATE(2028,2,1))="",FALSE,AND('Editable assumptions'!B16&lt;=DATE(2028,3,1),DATE(2028,3,1)&lt;=DATE(2028,2,1))),'Monthly forecast and cash'!T29,"")</f>
      </c>
    </row>
    <row r="843">
      <c r="A843" t="inlineStr" s="21">
        <is>
          <t xml:space="preserve">Calculation</t>
        </is>
      </c>
      <c r="B843">
        <f>IF(IF(AND('Editable assumptions'!B16&lt;=DATE(2028,4,1),DATE(2028,4,1)&lt;=DATE(2028,2,1))="",FALSE,AND('Editable assumptions'!B16&lt;=DATE(2028,4,1),DATE(2028,4,1)&lt;=DATE(2028,2,1))),'Monthly forecast and cash'!U29,"")</f>
      </c>
    </row>
    <row r="844">
      <c r="A844" t="inlineStr" s="21">
        <is>
          <t xml:space="preserve">Calculation</t>
        </is>
      </c>
      <c r="B844">
        <f>IF(IF(AND('Editable assumptions'!B16&lt;=DATE(2028,5,1),DATE(2028,5,1)&lt;=DATE(2028,2,1))="",FALSE,AND('Editable assumptions'!B16&lt;=DATE(2028,5,1),DATE(2028,5,1)&lt;=DATE(2028,2,1))),'Monthly forecast and cash'!V29,"")</f>
      </c>
    </row>
    <row r="845">
      <c r="A845" t="inlineStr" s="21">
        <is>
          <t xml:space="preserve">Calculation</t>
        </is>
      </c>
      <c r="B845">
        <f>IF(IF(AND('Editable assumptions'!B16&lt;=DATE(2028,6,1),DATE(2028,6,1)&lt;=DATE(2028,2,1))="",FALSE,AND('Editable assumptions'!B16&lt;=DATE(2028,6,1),DATE(2028,6,1)&lt;=DATE(2028,2,1))),'Monthly forecast and cash'!W29,"")</f>
      </c>
    </row>
    <row r="846">
      <c r="A846" t="inlineStr" s="21">
        <is>
          <t xml:space="preserve">Calculation</t>
        </is>
      </c>
      <c r="B846">
        <f>IF(IF(AND('Editable assumptions'!B16&lt;=DATE(2028,7,1),DATE(2028,7,1)&lt;=DATE(2028,2,1))="",FALSE,AND('Editable assumptions'!B16&lt;=DATE(2028,7,1),DATE(2028,7,1)&lt;=DATE(2028,2,1))),'Monthly forecast and cash'!X29,"")</f>
      </c>
    </row>
    <row r="847">
      <c r="A847" t="inlineStr" s="21">
        <is>
          <t xml:space="preserve">Calculation</t>
        </is>
      </c>
      <c r="B847">
        <f>IF(IF(AND('Editable assumptions'!B16&lt;=DATE(2028,8,1),DATE(2028,8,1)&lt;=DATE(2028,2,1))="",FALSE,AND('Editable assumptions'!B16&lt;=DATE(2028,8,1),DATE(2028,8,1)&lt;=DATE(2028,2,1))),'Monthly forecast and cash'!Y29,"")</f>
      </c>
    </row>
    <row r="848">
      <c r="A848" t="inlineStr" s="21">
        <is>
          <t xml:space="preserve">Calculation</t>
        </is>
      </c>
      <c r="B848">
        <f>IF(IF(AND('Editable assumptions'!B16&lt;=DATE(2028,9,1),DATE(2028,9,1)&lt;=DATE(2028,2,1))="",FALSE,AND('Editable assumptions'!B16&lt;=DATE(2028,9,1),DATE(2028,9,1)&lt;=DATE(2028,2,1))),'Monthly forecast and cash'!Z29,"")</f>
      </c>
    </row>
    <row r="849">
      <c r="A849" t="inlineStr" s="21">
        <is>
          <t xml:space="preserve">Calculation</t>
        </is>
      </c>
      <c r="B849">
        <f>IF(IF(AND('Editable assumptions'!B16&lt;=DATE(2026,1,1),DATE(2026,1,1)&lt;=DATE(2028,2,1))="",FALSE,AND('Editable assumptions'!B16&lt;=DATE(2026,1,1),DATE(2026,1,1)&lt;=DATE(2028,2,1))),'Model inputs'!D12,"")</f>
      </c>
    </row>
    <row r="850">
      <c r="A850" t="inlineStr" s="21">
        <is>
          <t xml:space="preserve">Calculation</t>
        </is>
      </c>
      <c r="B850">
        <f>IF(IF(AND('Editable assumptions'!B16&lt;=DATE(2026,2,1),DATE(2026,2,1)&lt;=DATE(2028,2,1))="",FALSE,AND('Editable assumptions'!B16&lt;=DATE(2026,2,1),DATE(2026,2,1)&lt;=DATE(2028,2,1))),'Model inputs'!E12,"")</f>
      </c>
    </row>
    <row r="851">
      <c r="A851" t="inlineStr" s="21">
        <is>
          <t xml:space="preserve">Calculation</t>
        </is>
      </c>
      <c r="B851">
        <f>IF(IF(AND('Editable assumptions'!B16&lt;=DATE(2026,3,1),DATE(2026,3,1)&lt;=DATE(2028,2,1))="",FALSE,AND('Editable assumptions'!B16&lt;=DATE(2026,3,1),DATE(2026,3,1)&lt;=DATE(2028,2,1))),'Model inputs'!F12,"")</f>
      </c>
    </row>
    <row r="852">
      <c r="A852" t="inlineStr" s="21">
        <is>
          <t xml:space="preserve">Calculation</t>
        </is>
      </c>
      <c r="B852">
        <f>IF(IF(AND('Editable assumptions'!B16&lt;=DATE(2026,4,1),DATE(2026,4,1)&lt;=DATE(2028,2,1))="",FALSE,AND('Editable assumptions'!B16&lt;=DATE(2026,4,1),DATE(2026,4,1)&lt;=DATE(2028,2,1))),'Model inputs'!G12,"")</f>
      </c>
    </row>
    <row r="853">
      <c r="A853" t="inlineStr" s="21">
        <is>
          <t xml:space="preserve">Calculation</t>
        </is>
      </c>
      <c r="B853">
        <f>IF(IF(AND('Editable assumptions'!B16&lt;=DATE(2026,5,1),DATE(2026,5,1)&lt;=DATE(2028,2,1))="",FALSE,AND('Editable assumptions'!B16&lt;=DATE(2026,5,1),DATE(2026,5,1)&lt;=DATE(2028,2,1))),'Model inputs'!H12,"")</f>
      </c>
    </row>
    <row r="854">
      <c r="A854" t="inlineStr" s="21">
        <is>
          <t xml:space="preserve">Calculation</t>
        </is>
      </c>
      <c r="B854">
        <f>IF(IF(AND('Editable assumptions'!B16&lt;=DATE(2026,6,1),DATE(2026,6,1)&lt;=DATE(2028,2,1))="",FALSE,AND('Editable assumptions'!B16&lt;=DATE(2026,6,1),DATE(2026,6,1)&lt;=DATE(2028,2,1))),'Model inputs'!I12,"")</f>
      </c>
    </row>
    <row r="855">
      <c r="A855" t="inlineStr" s="21">
        <is>
          <t xml:space="preserve">Calculation</t>
        </is>
      </c>
      <c r="B855">
        <f>IF(IF(AND('Editable assumptions'!B16&lt;=DATE(2026,7,1),DATE(2026,7,1)&lt;=DATE(2028,2,1))="",FALSE,AND('Editable assumptions'!B16&lt;=DATE(2026,7,1),DATE(2026,7,1)&lt;=DATE(2028,2,1))),'Model inputs'!J12,"")</f>
      </c>
    </row>
    <row r="856">
      <c r="A856" t="inlineStr" s="21">
        <is>
          <t xml:space="preserve">Calculation</t>
        </is>
      </c>
      <c r="B856">
        <f>IF(IF(AND('Editable assumptions'!B16&lt;=DATE(2026,8,1),DATE(2026,8,1)&lt;=DATE(2028,2,1))="",FALSE,AND('Editable assumptions'!B16&lt;=DATE(2026,8,1),DATE(2026,8,1)&lt;=DATE(2028,2,1))),'Model inputs'!K12,"")</f>
      </c>
    </row>
    <row r="857">
      <c r="A857" t="inlineStr" s="21">
        <is>
          <t xml:space="preserve">Calculation</t>
        </is>
      </c>
      <c r="B857">
        <f>IF(AND('Model inputs'!B824="",'Model inputs'!B825="",'Model inputs'!B826="",'Model inputs'!B827="",'Model inputs'!B828="",'Model inputs'!B829="",'Model inputs'!B830="",'Model inputs'!B831="",'Model inputs'!B832="",'Model inputs'!B833="",'Model inputs'!B834="",'Model inputs'!B835="",'Model inputs'!B836="",'Model inputs'!B837="",'Model inputs'!B838="",'Model inputs'!B839="",'Model inputs'!B840="",'Model inputs'!B841="",'Model inputs'!B842="",'Model inputs'!B843="",'Model inputs'!B844="",'Model inputs'!B845="",'Model inputs'!B846="",'Model inputs'!B847="",'Model inputs'!B848="",'Model inputs'!B849="",'Model inputs'!B850="",'Model inputs'!B851="",'Model inputs'!B852="",'Model inputs'!B853="",'Model inputs'!B854="",'Model inputs'!B855="",'Model inputs'!B856=""),"",MIN('Model inputs'!B824,'Model inputs'!B825,'Model inputs'!B826,'Model inputs'!B827,'Model inputs'!B828,'Model inputs'!B829,'Model inputs'!B830,'Model inputs'!B831,'Model inputs'!B832,'Model inputs'!B833,'Model inputs'!B834,'Model inputs'!B835,'Model inputs'!B836,'Model inputs'!B837,'Model inputs'!B838,'Model inputs'!B839,'Model inputs'!B840,'Model inputs'!B841,'Model inputs'!B842,'Model inputs'!B843,'Model inputs'!B844,'Model inputs'!B845,'Model inputs'!B846,'Model inputs'!B847,'Model inputs'!B848,'Model inputs'!B849,'Model inputs'!B850,'Model inputs'!B851,'Model inputs'!B852,'Model inputs'!B853,'Model inputs'!B854,'Model inputs'!B855,'Model inputs'!B856))</f>
      </c>
    </row>
    <row r="858">
      <c r="A858" t="inlineStr" s="21">
        <is>
          <t xml:space="preserve">Calculation</t>
        </is>
      </c>
      <c r="B858">
        <f>IF(IF(AND('Editable assumptions'!B16&lt;=DATE(2026,9,1),DATE(2026,9,1)&lt;=DATE(2028,3,1))="",FALSE,AND('Editable assumptions'!B16&lt;=DATE(2026,9,1),DATE(2026,9,1)&lt;=DATE(2028,3,1))),'Monthly forecast and cash'!B29,"")</f>
      </c>
    </row>
    <row r="859">
      <c r="A859" t="inlineStr" s="21">
        <is>
          <t xml:space="preserve">Calculation</t>
        </is>
      </c>
      <c r="B859">
        <f>IF(IF(AND('Editable assumptions'!B16&lt;=DATE(2026,10,1),DATE(2026,10,1)&lt;=DATE(2028,3,1))="",FALSE,AND('Editable assumptions'!B16&lt;=DATE(2026,10,1),DATE(2026,10,1)&lt;=DATE(2028,3,1))),'Monthly forecast and cash'!C29,"")</f>
      </c>
    </row>
    <row r="860">
      <c r="A860" t="inlineStr" s="21">
        <is>
          <t xml:space="preserve">Calculation</t>
        </is>
      </c>
      <c r="B860">
        <f>IF(IF(AND('Editable assumptions'!B16&lt;=DATE(2026,11,1),DATE(2026,11,1)&lt;=DATE(2028,3,1))="",FALSE,AND('Editable assumptions'!B16&lt;=DATE(2026,11,1),DATE(2026,11,1)&lt;=DATE(2028,3,1))),'Monthly forecast and cash'!D29,"")</f>
      </c>
    </row>
    <row r="861">
      <c r="A861" t="inlineStr" s="21">
        <is>
          <t xml:space="preserve">Calculation</t>
        </is>
      </c>
      <c r="B861">
        <f>IF(IF(AND('Editable assumptions'!B16&lt;=DATE(2026,12,1),DATE(2026,12,1)&lt;=DATE(2028,3,1))="",FALSE,AND('Editable assumptions'!B16&lt;=DATE(2026,12,1),DATE(2026,12,1)&lt;=DATE(2028,3,1))),'Monthly forecast and cash'!E29,"")</f>
      </c>
    </row>
    <row r="862">
      <c r="A862" t="inlineStr" s="21">
        <is>
          <t xml:space="preserve">Calculation</t>
        </is>
      </c>
      <c r="B862">
        <f>IF(IF(AND('Editable assumptions'!B16&lt;=DATE(2027,1,1),DATE(2027,1,1)&lt;=DATE(2028,3,1))="",FALSE,AND('Editable assumptions'!B16&lt;=DATE(2027,1,1),DATE(2027,1,1)&lt;=DATE(2028,3,1))),'Monthly forecast and cash'!F29,"")</f>
      </c>
    </row>
    <row r="863">
      <c r="A863" t="inlineStr" s="21">
        <is>
          <t xml:space="preserve">Calculation</t>
        </is>
      </c>
      <c r="B863">
        <f>IF(IF(AND('Editable assumptions'!B16&lt;=DATE(2027,2,1),DATE(2027,2,1)&lt;=DATE(2028,3,1))="",FALSE,AND('Editable assumptions'!B16&lt;=DATE(2027,2,1),DATE(2027,2,1)&lt;=DATE(2028,3,1))),'Monthly forecast and cash'!G29,"")</f>
      </c>
    </row>
    <row r="864">
      <c r="A864" t="inlineStr" s="21">
        <is>
          <t xml:space="preserve">Calculation</t>
        </is>
      </c>
      <c r="B864">
        <f>IF(IF(AND('Editable assumptions'!B16&lt;=DATE(2027,3,1),DATE(2027,3,1)&lt;=DATE(2028,3,1))="",FALSE,AND('Editable assumptions'!B16&lt;=DATE(2027,3,1),DATE(2027,3,1)&lt;=DATE(2028,3,1))),'Monthly forecast and cash'!H29,"")</f>
      </c>
    </row>
    <row r="865">
      <c r="A865" t="inlineStr" s="21">
        <is>
          <t xml:space="preserve">Calculation</t>
        </is>
      </c>
      <c r="B865">
        <f>IF(IF(AND('Editable assumptions'!B16&lt;=DATE(2027,4,1),DATE(2027,4,1)&lt;=DATE(2028,3,1))="",FALSE,AND('Editable assumptions'!B16&lt;=DATE(2027,4,1),DATE(2027,4,1)&lt;=DATE(2028,3,1))),'Monthly forecast and cash'!I29,"")</f>
      </c>
    </row>
    <row r="866">
      <c r="A866" t="inlineStr" s="21">
        <is>
          <t xml:space="preserve">Calculation</t>
        </is>
      </c>
      <c r="B866">
        <f>IF(IF(AND('Editable assumptions'!B16&lt;=DATE(2027,5,1),DATE(2027,5,1)&lt;=DATE(2028,3,1))="",FALSE,AND('Editable assumptions'!B16&lt;=DATE(2027,5,1),DATE(2027,5,1)&lt;=DATE(2028,3,1))),'Monthly forecast and cash'!J29,"")</f>
      </c>
    </row>
    <row r="867">
      <c r="A867" t="inlineStr" s="21">
        <is>
          <t xml:space="preserve">Calculation</t>
        </is>
      </c>
      <c r="B867">
        <f>IF(IF(AND('Editable assumptions'!B16&lt;=DATE(2027,6,1),DATE(2027,6,1)&lt;=DATE(2028,3,1))="",FALSE,AND('Editable assumptions'!B16&lt;=DATE(2027,6,1),DATE(2027,6,1)&lt;=DATE(2028,3,1))),'Monthly forecast and cash'!K29,"")</f>
      </c>
    </row>
    <row r="868">
      <c r="A868" t="inlineStr" s="21">
        <is>
          <t xml:space="preserve">Calculation</t>
        </is>
      </c>
      <c r="B868">
        <f>IF(IF(AND('Editable assumptions'!B16&lt;=DATE(2027,7,1),DATE(2027,7,1)&lt;=DATE(2028,3,1))="",FALSE,AND('Editable assumptions'!B16&lt;=DATE(2027,7,1),DATE(2027,7,1)&lt;=DATE(2028,3,1))),'Monthly forecast and cash'!L29,"")</f>
      </c>
    </row>
    <row r="869">
      <c r="A869" t="inlineStr" s="21">
        <is>
          <t xml:space="preserve">Calculation</t>
        </is>
      </c>
      <c r="B869">
        <f>IF(IF(AND('Editable assumptions'!B16&lt;=DATE(2027,8,1),DATE(2027,8,1)&lt;=DATE(2028,3,1))="",FALSE,AND('Editable assumptions'!B16&lt;=DATE(2027,8,1),DATE(2027,8,1)&lt;=DATE(2028,3,1))),'Monthly forecast and cash'!M29,"")</f>
      </c>
    </row>
    <row r="870">
      <c r="A870" t="inlineStr" s="21">
        <is>
          <t xml:space="preserve">Calculation</t>
        </is>
      </c>
      <c r="B870">
        <f>IF(IF(AND('Editable assumptions'!B16&lt;=DATE(2027,9,1),DATE(2027,9,1)&lt;=DATE(2028,3,1))="",FALSE,AND('Editable assumptions'!B16&lt;=DATE(2027,9,1),DATE(2027,9,1)&lt;=DATE(2028,3,1))),'Monthly forecast and cash'!N29,"")</f>
      </c>
    </row>
    <row r="871">
      <c r="A871" t="inlineStr" s="21">
        <is>
          <t xml:space="preserve">Calculation</t>
        </is>
      </c>
      <c r="B871">
        <f>IF(IF(AND('Editable assumptions'!B16&lt;=DATE(2027,10,1),DATE(2027,10,1)&lt;=DATE(2028,3,1))="",FALSE,AND('Editable assumptions'!B16&lt;=DATE(2027,10,1),DATE(2027,10,1)&lt;=DATE(2028,3,1))),'Monthly forecast and cash'!O29,"")</f>
      </c>
    </row>
    <row r="872">
      <c r="A872" t="inlineStr" s="21">
        <is>
          <t xml:space="preserve">Calculation</t>
        </is>
      </c>
      <c r="B872">
        <f>IF(IF(AND('Editable assumptions'!B16&lt;=DATE(2027,11,1),DATE(2027,11,1)&lt;=DATE(2028,3,1))="",FALSE,AND('Editable assumptions'!B16&lt;=DATE(2027,11,1),DATE(2027,11,1)&lt;=DATE(2028,3,1))),'Monthly forecast and cash'!P29,"")</f>
      </c>
    </row>
    <row r="873">
      <c r="A873" t="inlineStr" s="21">
        <is>
          <t xml:space="preserve">Calculation</t>
        </is>
      </c>
      <c r="B873">
        <f>IF(IF(AND('Editable assumptions'!B16&lt;=DATE(2027,12,1),DATE(2027,12,1)&lt;=DATE(2028,3,1))="",FALSE,AND('Editable assumptions'!B16&lt;=DATE(2027,12,1),DATE(2027,12,1)&lt;=DATE(2028,3,1))),'Monthly forecast and cash'!Q29,"")</f>
      </c>
    </row>
    <row r="874">
      <c r="A874" t="inlineStr" s="21">
        <is>
          <t xml:space="preserve">Calculation</t>
        </is>
      </c>
      <c r="B874">
        <f>IF(IF(AND('Editable assumptions'!B16&lt;=DATE(2028,1,1),DATE(2028,1,1)&lt;=DATE(2028,3,1))="",FALSE,AND('Editable assumptions'!B16&lt;=DATE(2028,1,1),DATE(2028,1,1)&lt;=DATE(2028,3,1))),'Monthly forecast and cash'!R29,"")</f>
      </c>
    </row>
    <row r="875">
      <c r="A875" t="inlineStr" s="21">
        <is>
          <t xml:space="preserve">Calculation</t>
        </is>
      </c>
      <c r="B875">
        <f>IF(IF(AND('Editable assumptions'!B16&lt;=DATE(2028,2,1),DATE(2028,2,1)&lt;=DATE(2028,3,1))="",FALSE,AND('Editable assumptions'!B16&lt;=DATE(2028,2,1),DATE(2028,2,1)&lt;=DATE(2028,3,1))),'Monthly forecast and cash'!S29,"")</f>
      </c>
    </row>
    <row r="876">
      <c r="A876" t="inlineStr" s="21">
        <is>
          <t xml:space="preserve">Calculation</t>
        </is>
      </c>
      <c r="B876">
        <f>IF(IF(AND('Editable assumptions'!B16&lt;=DATE(2028,3,1),DATE(2028,3,1)&lt;=DATE(2028,3,1))="",FALSE,AND('Editable assumptions'!B16&lt;=DATE(2028,3,1),DATE(2028,3,1)&lt;=DATE(2028,3,1))),'Monthly forecast and cash'!T29,"")</f>
      </c>
    </row>
    <row r="877">
      <c r="A877" t="inlineStr" s="21">
        <is>
          <t xml:space="preserve">Calculation</t>
        </is>
      </c>
      <c r="B877">
        <f>IF(IF(AND('Editable assumptions'!B16&lt;=DATE(2028,4,1),DATE(2028,4,1)&lt;=DATE(2028,3,1))="",FALSE,AND('Editable assumptions'!B16&lt;=DATE(2028,4,1),DATE(2028,4,1)&lt;=DATE(2028,3,1))),'Monthly forecast and cash'!U29,"")</f>
      </c>
    </row>
    <row r="878">
      <c r="A878" t="inlineStr" s="21">
        <is>
          <t xml:space="preserve">Calculation</t>
        </is>
      </c>
      <c r="B878">
        <f>IF(IF(AND('Editable assumptions'!B16&lt;=DATE(2028,5,1),DATE(2028,5,1)&lt;=DATE(2028,3,1))="",FALSE,AND('Editable assumptions'!B16&lt;=DATE(2028,5,1),DATE(2028,5,1)&lt;=DATE(2028,3,1))),'Monthly forecast and cash'!V29,"")</f>
      </c>
    </row>
    <row r="879">
      <c r="A879" t="inlineStr" s="21">
        <is>
          <t xml:space="preserve">Calculation</t>
        </is>
      </c>
      <c r="B879">
        <f>IF(IF(AND('Editable assumptions'!B16&lt;=DATE(2028,6,1),DATE(2028,6,1)&lt;=DATE(2028,3,1))="",FALSE,AND('Editable assumptions'!B16&lt;=DATE(2028,6,1),DATE(2028,6,1)&lt;=DATE(2028,3,1))),'Monthly forecast and cash'!W29,"")</f>
      </c>
    </row>
    <row r="880">
      <c r="A880" t="inlineStr" s="21">
        <is>
          <t xml:space="preserve">Calculation</t>
        </is>
      </c>
      <c r="B880">
        <f>IF(IF(AND('Editable assumptions'!B16&lt;=DATE(2028,7,1),DATE(2028,7,1)&lt;=DATE(2028,3,1))="",FALSE,AND('Editable assumptions'!B16&lt;=DATE(2028,7,1),DATE(2028,7,1)&lt;=DATE(2028,3,1))),'Monthly forecast and cash'!X29,"")</f>
      </c>
    </row>
    <row r="881">
      <c r="A881" t="inlineStr" s="21">
        <is>
          <t xml:space="preserve">Calculation</t>
        </is>
      </c>
      <c r="B881">
        <f>IF(IF(AND('Editable assumptions'!B16&lt;=DATE(2028,8,1),DATE(2028,8,1)&lt;=DATE(2028,3,1))="",FALSE,AND('Editable assumptions'!B16&lt;=DATE(2028,8,1),DATE(2028,8,1)&lt;=DATE(2028,3,1))),'Monthly forecast and cash'!Y29,"")</f>
      </c>
    </row>
    <row r="882">
      <c r="A882" t="inlineStr" s="21">
        <is>
          <t xml:space="preserve">Calculation</t>
        </is>
      </c>
      <c r="B882">
        <f>IF(IF(AND('Editable assumptions'!B16&lt;=DATE(2028,9,1),DATE(2028,9,1)&lt;=DATE(2028,3,1))="",FALSE,AND('Editable assumptions'!B16&lt;=DATE(2028,9,1),DATE(2028,9,1)&lt;=DATE(2028,3,1))),'Monthly forecast and cash'!Z29,"")</f>
      </c>
    </row>
    <row r="883">
      <c r="A883" t="inlineStr" s="21">
        <is>
          <t xml:space="preserve">Calculation</t>
        </is>
      </c>
      <c r="B883">
        <f>IF(IF(AND('Editable assumptions'!B16&lt;=DATE(2026,1,1),DATE(2026,1,1)&lt;=DATE(2028,3,1))="",FALSE,AND('Editable assumptions'!B16&lt;=DATE(2026,1,1),DATE(2026,1,1)&lt;=DATE(2028,3,1))),'Model inputs'!D12,"")</f>
      </c>
    </row>
    <row r="884">
      <c r="A884" t="inlineStr" s="21">
        <is>
          <t xml:space="preserve">Calculation</t>
        </is>
      </c>
      <c r="B884">
        <f>IF(IF(AND('Editable assumptions'!B16&lt;=DATE(2026,2,1),DATE(2026,2,1)&lt;=DATE(2028,3,1))="",FALSE,AND('Editable assumptions'!B16&lt;=DATE(2026,2,1),DATE(2026,2,1)&lt;=DATE(2028,3,1))),'Model inputs'!E12,"")</f>
      </c>
    </row>
    <row r="885">
      <c r="A885" t="inlineStr" s="21">
        <is>
          <t xml:space="preserve">Calculation</t>
        </is>
      </c>
      <c r="B885">
        <f>IF(IF(AND('Editable assumptions'!B16&lt;=DATE(2026,3,1),DATE(2026,3,1)&lt;=DATE(2028,3,1))="",FALSE,AND('Editable assumptions'!B16&lt;=DATE(2026,3,1),DATE(2026,3,1)&lt;=DATE(2028,3,1))),'Model inputs'!F12,"")</f>
      </c>
    </row>
    <row r="886">
      <c r="A886" t="inlineStr" s="21">
        <is>
          <t xml:space="preserve">Calculation</t>
        </is>
      </c>
      <c r="B886">
        <f>IF(IF(AND('Editable assumptions'!B16&lt;=DATE(2026,4,1),DATE(2026,4,1)&lt;=DATE(2028,3,1))="",FALSE,AND('Editable assumptions'!B16&lt;=DATE(2026,4,1),DATE(2026,4,1)&lt;=DATE(2028,3,1))),'Model inputs'!G12,"")</f>
      </c>
    </row>
    <row r="887">
      <c r="A887" t="inlineStr" s="21">
        <is>
          <t xml:space="preserve">Calculation</t>
        </is>
      </c>
      <c r="B887">
        <f>IF(IF(AND('Editable assumptions'!B16&lt;=DATE(2026,5,1),DATE(2026,5,1)&lt;=DATE(2028,3,1))="",FALSE,AND('Editable assumptions'!B16&lt;=DATE(2026,5,1),DATE(2026,5,1)&lt;=DATE(2028,3,1))),'Model inputs'!H12,"")</f>
      </c>
    </row>
    <row r="888">
      <c r="A888" t="inlineStr" s="21">
        <is>
          <t xml:space="preserve">Calculation</t>
        </is>
      </c>
      <c r="B888">
        <f>IF(IF(AND('Editable assumptions'!B16&lt;=DATE(2026,6,1),DATE(2026,6,1)&lt;=DATE(2028,3,1))="",FALSE,AND('Editable assumptions'!B16&lt;=DATE(2026,6,1),DATE(2026,6,1)&lt;=DATE(2028,3,1))),'Model inputs'!I12,"")</f>
      </c>
    </row>
    <row r="889">
      <c r="A889" t="inlineStr" s="21">
        <is>
          <t xml:space="preserve">Calculation</t>
        </is>
      </c>
      <c r="B889">
        <f>IF(IF(AND('Editable assumptions'!B16&lt;=DATE(2026,7,1),DATE(2026,7,1)&lt;=DATE(2028,3,1))="",FALSE,AND('Editable assumptions'!B16&lt;=DATE(2026,7,1),DATE(2026,7,1)&lt;=DATE(2028,3,1))),'Model inputs'!J12,"")</f>
      </c>
    </row>
    <row r="890">
      <c r="A890" t="inlineStr" s="21">
        <is>
          <t xml:space="preserve">Calculation</t>
        </is>
      </c>
      <c r="B890">
        <f>IF(IF(AND('Editable assumptions'!B16&lt;=DATE(2026,8,1),DATE(2026,8,1)&lt;=DATE(2028,3,1))="",FALSE,AND('Editable assumptions'!B16&lt;=DATE(2026,8,1),DATE(2026,8,1)&lt;=DATE(2028,3,1))),'Model inputs'!K12,"")</f>
      </c>
    </row>
    <row r="891">
      <c r="A891" t="inlineStr" s="21">
        <is>
          <t xml:space="preserve">Calculation</t>
        </is>
      </c>
      <c r="B891">
        <f>IF(AND('Model inputs'!B858="",'Model inputs'!B859="",'Model inputs'!B860="",'Model inputs'!B861="",'Model inputs'!B862="",'Model inputs'!B863="",'Model inputs'!B864="",'Model inputs'!B865="",'Model inputs'!B866="",'Model inputs'!B867="",'Model inputs'!B868="",'Model inputs'!B869="",'Model inputs'!B870="",'Model inputs'!B871="",'Model inputs'!B872="",'Model inputs'!B873="",'Model inputs'!B874="",'Model inputs'!B875="",'Model inputs'!B876="",'Model inputs'!B877="",'Model inputs'!B878="",'Model inputs'!B879="",'Model inputs'!B880="",'Model inputs'!B881="",'Model inputs'!B882="",'Model inputs'!B883="",'Model inputs'!B884="",'Model inputs'!B885="",'Model inputs'!B886="",'Model inputs'!B887="",'Model inputs'!B888="",'Model inputs'!B889="",'Model inputs'!B890=""),"",MIN('Model inputs'!B858,'Model inputs'!B859,'Model inputs'!B860,'Model inputs'!B861,'Model inputs'!B862,'Model inputs'!B863,'Model inputs'!B864,'Model inputs'!B865,'Model inputs'!B866,'Model inputs'!B867,'Model inputs'!B868,'Model inputs'!B869,'Model inputs'!B870,'Model inputs'!B871,'Model inputs'!B872,'Model inputs'!B873,'Model inputs'!B874,'Model inputs'!B875,'Model inputs'!B876,'Model inputs'!B877,'Model inputs'!B878,'Model inputs'!B879,'Model inputs'!B880,'Model inputs'!B881,'Model inputs'!B882,'Model inputs'!B883,'Model inputs'!B884,'Model inputs'!B885,'Model inputs'!B886,'Model inputs'!B887,'Model inputs'!B888,'Model inputs'!B889,'Model inputs'!B890))</f>
      </c>
    </row>
    <row r="892">
      <c r="A892" t="inlineStr" s="21">
        <is>
          <t xml:space="preserve">Calculation</t>
        </is>
      </c>
      <c r="B892">
        <f>IF(IF(AND('Editable assumptions'!B16&lt;=DATE(2026,9,1),DATE(2026,9,1)&lt;=DATE(2028,4,1))="",FALSE,AND('Editable assumptions'!B16&lt;=DATE(2026,9,1),DATE(2026,9,1)&lt;=DATE(2028,4,1))),'Monthly forecast and cash'!B29,"")</f>
      </c>
    </row>
    <row r="893">
      <c r="A893" t="inlineStr" s="21">
        <is>
          <t xml:space="preserve">Calculation</t>
        </is>
      </c>
      <c r="B893">
        <f>IF(IF(AND('Editable assumptions'!B16&lt;=DATE(2026,10,1),DATE(2026,10,1)&lt;=DATE(2028,4,1))="",FALSE,AND('Editable assumptions'!B16&lt;=DATE(2026,10,1),DATE(2026,10,1)&lt;=DATE(2028,4,1))),'Monthly forecast and cash'!C29,"")</f>
      </c>
    </row>
    <row r="894">
      <c r="A894" t="inlineStr" s="21">
        <is>
          <t xml:space="preserve">Calculation</t>
        </is>
      </c>
      <c r="B894">
        <f>IF(IF(AND('Editable assumptions'!B16&lt;=DATE(2026,11,1),DATE(2026,11,1)&lt;=DATE(2028,4,1))="",FALSE,AND('Editable assumptions'!B16&lt;=DATE(2026,11,1),DATE(2026,11,1)&lt;=DATE(2028,4,1))),'Monthly forecast and cash'!D29,"")</f>
      </c>
    </row>
    <row r="895">
      <c r="A895" t="inlineStr" s="21">
        <is>
          <t xml:space="preserve">Calculation</t>
        </is>
      </c>
      <c r="B895">
        <f>IF(IF(AND('Editable assumptions'!B16&lt;=DATE(2026,12,1),DATE(2026,12,1)&lt;=DATE(2028,4,1))="",FALSE,AND('Editable assumptions'!B16&lt;=DATE(2026,12,1),DATE(2026,12,1)&lt;=DATE(2028,4,1))),'Monthly forecast and cash'!E29,"")</f>
      </c>
    </row>
    <row r="896">
      <c r="A896" t="inlineStr" s="21">
        <is>
          <t xml:space="preserve">Calculation</t>
        </is>
      </c>
      <c r="B896">
        <f>IF(IF(AND('Editable assumptions'!B16&lt;=DATE(2027,1,1),DATE(2027,1,1)&lt;=DATE(2028,4,1))="",FALSE,AND('Editable assumptions'!B16&lt;=DATE(2027,1,1),DATE(2027,1,1)&lt;=DATE(2028,4,1))),'Monthly forecast and cash'!F29,"")</f>
      </c>
    </row>
    <row r="897">
      <c r="A897" t="inlineStr" s="21">
        <is>
          <t xml:space="preserve">Calculation</t>
        </is>
      </c>
      <c r="B897">
        <f>IF(IF(AND('Editable assumptions'!B16&lt;=DATE(2027,2,1),DATE(2027,2,1)&lt;=DATE(2028,4,1))="",FALSE,AND('Editable assumptions'!B16&lt;=DATE(2027,2,1),DATE(2027,2,1)&lt;=DATE(2028,4,1))),'Monthly forecast and cash'!G29,"")</f>
      </c>
    </row>
    <row r="898">
      <c r="A898" t="inlineStr" s="21">
        <is>
          <t xml:space="preserve">Calculation</t>
        </is>
      </c>
      <c r="B898">
        <f>IF(IF(AND('Editable assumptions'!B16&lt;=DATE(2027,3,1),DATE(2027,3,1)&lt;=DATE(2028,4,1))="",FALSE,AND('Editable assumptions'!B16&lt;=DATE(2027,3,1),DATE(2027,3,1)&lt;=DATE(2028,4,1))),'Monthly forecast and cash'!H29,"")</f>
      </c>
    </row>
    <row r="899">
      <c r="A899" t="inlineStr" s="21">
        <is>
          <t xml:space="preserve">Calculation</t>
        </is>
      </c>
      <c r="B899">
        <f>IF(IF(AND('Editable assumptions'!B16&lt;=DATE(2027,4,1),DATE(2027,4,1)&lt;=DATE(2028,4,1))="",FALSE,AND('Editable assumptions'!B16&lt;=DATE(2027,4,1),DATE(2027,4,1)&lt;=DATE(2028,4,1))),'Monthly forecast and cash'!I29,"")</f>
      </c>
    </row>
    <row r="900">
      <c r="A900" t="inlineStr" s="21">
        <is>
          <t xml:space="preserve">Calculation</t>
        </is>
      </c>
      <c r="B900">
        <f>IF(IF(AND('Editable assumptions'!B16&lt;=DATE(2027,5,1),DATE(2027,5,1)&lt;=DATE(2028,4,1))="",FALSE,AND('Editable assumptions'!B16&lt;=DATE(2027,5,1),DATE(2027,5,1)&lt;=DATE(2028,4,1))),'Monthly forecast and cash'!J29,"")</f>
      </c>
    </row>
    <row r="901">
      <c r="A901" t="inlineStr" s="21">
        <is>
          <t xml:space="preserve">Calculation</t>
        </is>
      </c>
      <c r="B901">
        <f>IF(IF(AND('Editable assumptions'!B16&lt;=DATE(2027,6,1),DATE(2027,6,1)&lt;=DATE(2028,4,1))="",FALSE,AND('Editable assumptions'!B16&lt;=DATE(2027,6,1),DATE(2027,6,1)&lt;=DATE(2028,4,1))),'Monthly forecast and cash'!K29,"")</f>
      </c>
    </row>
    <row r="902">
      <c r="A902" t="inlineStr" s="21">
        <is>
          <t xml:space="preserve">Calculation</t>
        </is>
      </c>
      <c r="B902">
        <f>IF(IF(AND('Editable assumptions'!B16&lt;=DATE(2027,7,1),DATE(2027,7,1)&lt;=DATE(2028,4,1))="",FALSE,AND('Editable assumptions'!B16&lt;=DATE(2027,7,1),DATE(2027,7,1)&lt;=DATE(2028,4,1))),'Monthly forecast and cash'!L29,"")</f>
      </c>
    </row>
    <row r="903">
      <c r="A903" t="inlineStr" s="21">
        <is>
          <t xml:space="preserve">Calculation</t>
        </is>
      </c>
      <c r="B903">
        <f>IF(IF(AND('Editable assumptions'!B16&lt;=DATE(2027,8,1),DATE(2027,8,1)&lt;=DATE(2028,4,1))="",FALSE,AND('Editable assumptions'!B16&lt;=DATE(2027,8,1),DATE(2027,8,1)&lt;=DATE(2028,4,1))),'Monthly forecast and cash'!M29,"")</f>
      </c>
    </row>
    <row r="904">
      <c r="A904" t="inlineStr" s="21">
        <is>
          <t xml:space="preserve">Calculation</t>
        </is>
      </c>
      <c r="B904">
        <f>IF(IF(AND('Editable assumptions'!B16&lt;=DATE(2027,9,1),DATE(2027,9,1)&lt;=DATE(2028,4,1))="",FALSE,AND('Editable assumptions'!B16&lt;=DATE(2027,9,1),DATE(2027,9,1)&lt;=DATE(2028,4,1))),'Monthly forecast and cash'!N29,"")</f>
      </c>
    </row>
    <row r="905">
      <c r="A905" t="inlineStr" s="21">
        <is>
          <t xml:space="preserve">Calculation</t>
        </is>
      </c>
      <c r="B905">
        <f>IF(IF(AND('Editable assumptions'!B16&lt;=DATE(2027,10,1),DATE(2027,10,1)&lt;=DATE(2028,4,1))="",FALSE,AND('Editable assumptions'!B16&lt;=DATE(2027,10,1),DATE(2027,10,1)&lt;=DATE(2028,4,1))),'Monthly forecast and cash'!O29,"")</f>
      </c>
    </row>
    <row r="906">
      <c r="A906" t="inlineStr" s="21">
        <is>
          <t xml:space="preserve">Calculation</t>
        </is>
      </c>
      <c r="B906">
        <f>IF(IF(AND('Editable assumptions'!B16&lt;=DATE(2027,11,1),DATE(2027,11,1)&lt;=DATE(2028,4,1))="",FALSE,AND('Editable assumptions'!B16&lt;=DATE(2027,11,1),DATE(2027,11,1)&lt;=DATE(2028,4,1))),'Monthly forecast and cash'!P29,"")</f>
      </c>
    </row>
    <row r="907">
      <c r="A907" t="inlineStr" s="21">
        <is>
          <t xml:space="preserve">Calculation</t>
        </is>
      </c>
      <c r="B907">
        <f>IF(IF(AND('Editable assumptions'!B16&lt;=DATE(2027,12,1),DATE(2027,12,1)&lt;=DATE(2028,4,1))="",FALSE,AND('Editable assumptions'!B16&lt;=DATE(2027,12,1),DATE(2027,12,1)&lt;=DATE(2028,4,1))),'Monthly forecast and cash'!Q29,"")</f>
      </c>
    </row>
    <row r="908">
      <c r="A908" t="inlineStr" s="21">
        <is>
          <t xml:space="preserve">Calculation</t>
        </is>
      </c>
      <c r="B908">
        <f>IF(IF(AND('Editable assumptions'!B16&lt;=DATE(2028,1,1),DATE(2028,1,1)&lt;=DATE(2028,4,1))="",FALSE,AND('Editable assumptions'!B16&lt;=DATE(2028,1,1),DATE(2028,1,1)&lt;=DATE(2028,4,1))),'Monthly forecast and cash'!R29,"")</f>
      </c>
    </row>
    <row r="909">
      <c r="A909" t="inlineStr" s="21">
        <is>
          <t xml:space="preserve">Calculation</t>
        </is>
      </c>
      <c r="B909">
        <f>IF(IF(AND('Editable assumptions'!B16&lt;=DATE(2028,2,1),DATE(2028,2,1)&lt;=DATE(2028,4,1))="",FALSE,AND('Editable assumptions'!B16&lt;=DATE(2028,2,1),DATE(2028,2,1)&lt;=DATE(2028,4,1))),'Monthly forecast and cash'!S29,"")</f>
      </c>
    </row>
    <row r="910">
      <c r="A910" t="inlineStr" s="21">
        <is>
          <t xml:space="preserve">Calculation</t>
        </is>
      </c>
      <c r="B910">
        <f>IF(IF(AND('Editable assumptions'!B16&lt;=DATE(2028,3,1),DATE(2028,3,1)&lt;=DATE(2028,4,1))="",FALSE,AND('Editable assumptions'!B16&lt;=DATE(2028,3,1),DATE(2028,3,1)&lt;=DATE(2028,4,1))),'Monthly forecast and cash'!T29,"")</f>
      </c>
    </row>
    <row r="911">
      <c r="A911" t="inlineStr" s="21">
        <is>
          <t xml:space="preserve">Calculation</t>
        </is>
      </c>
      <c r="B911">
        <f>IF(IF(AND('Editable assumptions'!B16&lt;=DATE(2028,4,1),DATE(2028,4,1)&lt;=DATE(2028,4,1))="",FALSE,AND('Editable assumptions'!B16&lt;=DATE(2028,4,1),DATE(2028,4,1)&lt;=DATE(2028,4,1))),'Monthly forecast and cash'!U29,"")</f>
      </c>
    </row>
    <row r="912">
      <c r="A912" t="inlineStr" s="21">
        <is>
          <t xml:space="preserve">Calculation</t>
        </is>
      </c>
      <c r="B912">
        <f>IF(IF(AND('Editable assumptions'!B16&lt;=DATE(2028,5,1),DATE(2028,5,1)&lt;=DATE(2028,4,1))="",FALSE,AND('Editable assumptions'!B16&lt;=DATE(2028,5,1),DATE(2028,5,1)&lt;=DATE(2028,4,1))),'Monthly forecast and cash'!V29,"")</f>
      </c>
    </row>
    <row r="913">
      <c r="A913" t="inlineStr" s="21">
        <is>
          <t xml:space="preserve">Calculation</t>
        </is>
      </c>
      <c r="B913">
        <f>IF(IF(AND('Editable assumptions'!B16&lt;=DATE(2028,6,1),DATE(2028,6,1)&lt;=DATE(2028,4,1))="",FALSE,AND('Editable assumptions'!B16&lt;=DATE(2028,6,1),DATE(2028,6,1)&lt;=DATE(2028,4,1))),'Monthly forecast and cash'!W29,"")</f>
      </c>
    </row>
    <row r="914">
      <c r="A914" t="inlineStr" s="21">
        <is>
          <t xml:space="preserve">Calculation</t>
        </is>
      </c>
      <c r="B914">
        <f>IF(IF(AND('Editable assumptions'!B16&lt;=DATE(2028,7,1),DATE(2028,7,1)&lt;=DATE(2028,4,1))="",FALSE,AND('Editable assumptions'!B16&lt;=DATE(2028,7,1),DATE(2028,7,1)&lt;=DATE(2028,4,1))),'Monthly forecast and cash'!X29,"")</f>
      </c>
    </row>
    <row r="915">
      <c r="A915" t="inlineStr" s="21">
        <is>
          <t xml:space="preserve">Calculation</t>
        </is>
      </c>
      <c r="B915">
        <f>IF(IF(AND('Editable assumptions'!B16&lt;=DATE(2028,8,1),DATE(2028,8,1)&lt;=DATE(2028,4,1))="",FALSE,AND('Editable assumptions'!B16&lt;=DATE(2028,8,1),DATE(2028,8,1)&lt;=DATE(2028,4,1))),'Monthly forecast and cash'!Y29,"")</f>
      </c>
    </row>
    <row r="916">
      <c r="A916" t="inlineStr" s="21">
        <is>
          <t xml:space="preserve">Calculation</t>
        </is>
      </c>
      <c r="B916">
        <f>IF(IF(AND('Editable assumptions'!B16&lt;=DATE(2028,9,1),DATE(2028,9,1)&lt;=DATE(2028,4,1))="",FALSE,AND('Editable assumptions'!B16&lt;=DATE(2028,9,1),DATE(2028,9,1)&lt;=DATE(2028,4,1))),'Monthly forecast and cash'!Z29,"")</f>
      </c>
    </row>
    <row r="917">
      <c r="A917" t="inlineStr" s="21">
        <is>
          <t xml:space="preserve">Calculation</t>
        </is>
      </c>
      <c r="B917">
        <f>IF(IF(AND('Editable assumptions'!B16&lt;=DATE(2026,1,1),DATE(2026,1,1)&lt;=DATE(2028,4,1))="",FALSE,AND('Editable assumptions'!B16&lt;=DATE(2026,1,1),DATE(2026,1,1)&lt;=DATE(2028,4,1))),'Model inputs'!D12,"")</f>
      </c>
    </row>
    <row r="918">
      <c r="A918" t="inlineStr" s="21">
        <is>
          <t xml:space="preserve">Calculation</t>
        </is>
      </c>
      <c r="B918">
        <f>IF(IF(AND('Editable assumptions'!B16&lt;=DATE(2026,2,1),DATE(2026,2,1)&lt;=DATE(2028,4,1))="",FALSE,AND('Editable assumptions'!B16&lt;=DATE(2026,2,1),DATE(2026,2,1)&lt;=DATE(2028,4,1))),'Model inputs'!E12,"")</f>
      </c>
    </row>
    <row r="919">
      <c r="A919" t="inlineStr" s="21">
        <is>
          <t xml:space="preserve">Calculation</t>
        </is>
      </c>
      <c r="B919">
        <f>IF(IF(AND('Editable assumptions'!B16&lt;=DATE(2026,3,1),DATE(2026,3,1)&lt;=DATE(2028,4,1))="",FALSE,AND('Editable assumptions'!B16&lt;=DATE(2026,3,1),DATE(2026,3,1)&lt;=DATE(2028,4,1))),'Model inputs'!F12,"")</f>
      </c>
    </row>
    <row r="920">
      <c r="A920" t="inlineStr" s="21">
        <is>
          <t xml:space="preserve">Calculation</t>
        </is>
      </c>
      <c r="B920">
        <f>IF(IF(AND('Editable assumptions'!B16&lt;=DATE(2026,4,1),DATE(2026,4,1)&lt;=DATE(2028,4,1))="",FALSE,AND('Editable assumptions'!B16&lt;=DATE(2026,4,1),DATE(2026,4,1)&lt;=DATE(2028,4,1))),'Model inputs'!G12,"")</f>
      </c>
    </row>
    <row r="921">
      <c r="A921" t="inlineStr" s="21">
        <is>
          <t xml:space="preserve">Calculation</t>
        </is>
      </c>
      <c r="B921">
        <f>IF(IF(AND('Editable assumptions'!B16&lt;=DATE(2026,5,1),DATE(2026,5,1)&lt;=DATE(2028,4,1))="",FALSE,AND('Editable assumptions'!B16&lt;=DATE(2026,5,1),DATE(2026,5,1)&lt;=DATE(2028,4,1))),'Model inputs'!H12,"")</f>
      </c>
    </row>
    <row r="922">
      <c r="A922" t="inlineStr" s="21">
        <is>
          <t xml:space="preserve">Calculation</t>
        </is>
      </c>
      <c r="B922">
        <f>IF(IF(AND('Editable assumptions'!B16&lt;=DATE(2026,6,1),DATE(2026,6,1)&lt;=DATE(2028,4,1))="",FALSE,AND('Editable assumptions'!B16&lt;=DATE(2026,6,1),DATE(2026,6,1)&lt;=DATE(2028,4,1))),'Model inputs'!I12,"")</f>
      </c>
    </row>
    <row r="923">
      <c r="A923" t="inlineStr" s="21">
        <is>
          <t xml:space="preserve">Calculation</t>
        </is>
      </c>
      <c r="B923">
        <f>IF(IF(AND('Editable assumptions'!B16&lt;=DATE(2026,7,1),DATE(2026,7,1)&lt;=DATE(2028,4,1))="",FALSE,AND('Editable assumptions'!B16&lt;=DATE(2026,7,1),DATE(2026,7,1)&lt;=DATE(2028,4,1))),'Model inputs'!J12,"")</f>
      </c>
    </row>
    <row r="924">
      <c r="A924" t="inlineStr" s="21">
        <is>
          <t xml:space="preserve">Calculation</t>
        </is>
      </c>
      <c r="B924">
        <f>IF(IF(AND('Editable assumptions'!B16&lt;=DATE(2026,8,1),DATE(2026,8,1)&lt;=DATE(2028,4,1))="",FALSE,AND('Editable assumptions'!B16&lt;=DATE(2026,8,1),DATE(2026,8,1)&lt;=DATE(2028,4,1))),'Model inputs'!K12,"")</f>
      </c>
    </row>
    <row r="925">
      <c r="A925" t="inlineStr" s="21">
        <is>
          <t xml:space="preserve">Calculation</t>
        </is>
      </c>
      <c r="B925">
        <f>IF(AND('Model inputs'!B892="",'Model inputs'!B893="",'Model inputs'!B894="",'Model inputs'!B895="",'Model inputs'!B896="",'Model inputs'!B897="",'Model inputs'!B898="",'Model inputs'!B899="",'Model inputs'!B900="",'Model inputs'!B901="",'Model inputs'!B902="",'Model inputs'!B903="",'Model inputs'!B904="",'Model inputs'!B905="",'Model inputs'!B906="",'Model inputs'!B907="",'Model inputs'!B908="",'Model inputs'!B909="",'Model inputs'!B910="",'Model inputs'!B911="",'Model inputs'!B912="",'Model inputs'!B913="",'Model inputs'!B914="",'Model inputs'!B915="",'Model inputs'!B916="",'Model inputs'!B917="",'Model inputs'!B918="",'Model inputs'!B919="",'Model inputs'!B920="",'Model inputs'!B921="",'Model inputs'!B922="",'Model inputs'!B923="",'Model inputs'!B924=""),"",MIN('Model inputs'!B892,'Model inputs'!B893,'Model inputs'!B894,'Model inputs'!B895,'Model inputs'!B896,'Model inputs'!B897,'Model inputs'!B898,'Model inputs'!B899,'Model inputs'!B900,'Model inputs'!B901,'Model inputs'!B902,'Model inputs'!B903,'Model inputs'!B904,'Model inputs'!B905,'Model inputs'!B906,'Model inputs'!B907,'Model inputs'!B908,'Model inputs'!B909,'Model inputs'!B910,'Model inputs'!B911,'Model inputs'!B912,'Model inputs'!B913,'Model inputs'!B914,'Model inputs'!B915,'Model inputs'!B916,'Model inputs'!B917,'Model inputs'!B918,'Model inputs'!B919,'Model inputs'!B920,'Model inputs'!B921,'Model inputs'!B922,'Model inputs'!B923,'Model inputs'!B924))</f>
      </c>
    </row>
    <row r="926">
      <c r="A926" t="inlineStr" s="21">
        <is>
          <t xml:space="preserve">Calculation</t>
        </is>
      </c>
      <c r="B926">
        <f>IF(IF(AND('Editable assumptions'!B16&lt;=DATE(2026,9,1),DATE(2026,9,1)&lt;=DATE(2028,5,1))="",FALSE,AND('Editable assumptions'!B16&lt;=DATE(2026,9,1),DATE(2026,9,1)&lt;=DATE(2028,5,1))),'Monthly forecast and cash'!B29,"")</f>
      </c>
    </row>
    <row r="927">
      <c r="A927" t="inlineStr" s="21">
        <is>
          <t xml:space="preserve">Calculation</t>
        </is>
      </c>
      <c r="B927">
        <f>IF(IF(AND('Editable assumptions'!B16&lt;=DATE(2026,10,1),DATE(2026,10,1)&lt;=DATE(2028,5,1))="",FALSE,AND('Editable assumptions'!B16&lt;=DATE(2026,10,1),DATE(2026,10,1)&lt;=DATE(2028,5,1))),'Monthly forecast and cash'!C29,"")</f>
      </c>
    </row>
    <row r="928">
      <c r="A928" t="inlineStr" s="21">
        <is>
          <t xml:space="preserve">Calculation</t>
        </is>
      </c>
      <c r="B928">
        <f>IF(IF(AND('Editable assumptions'!B16&lt;=DATE(2026,11,1),DATE(2026,11,1)&lt;=DATE(2028,5,1))="",FALSE,AND('Editable assumptions'!B16&lt;=DATE(2026,11,1),DATE(2026,11,1)&lt;=DATE(2028,5,1))),'Monthly forecast and cash'!D29,"")</f>
      </c>
    </row>
    <row r="929">
      <c r="A929" t="inlineStr" s="21">
        <is>
          <t xml:space="preserve">Calculation</t>
        </is>
      </c>
      <c r="B929">
        <f>IF(IF(AND('Editable assumptions'!B16&lt;=DATE(2026,12,1),DATE(2026,12,1)&lt;=DATE(2028,5,1))="",FALSE,AND('Editable assumptions'!B16&lt;=DATE(2026,12,1),DATE(2026,12,1)&lt;=DATE(2028,5,1))),'Monthly forecast and cash'!E29,"")</f>
      </c>
    </row>
    <row r="930">
      <c r="A930" t="inlineStr" s="21">
        <is>
          <t xml:space="preserve">Calculation</t>
        </is>
      </c>
      <c r="B930">
        <f>IF(IF(AND('Editable assumptions'!B16&lt;=DATE(2027,1,1),DATE(2027,1,1)&lt;=DATE(2028,5,1))="",FALSE,AND('Editable assumptions'!B16&lt;=DATE(2027,1,1),DATE(2027,1,1)&lt;=DATE(2028,5,1))),'Monthly forecast and cash'!F29,"")</f>
      </c>
    </row>
    <row r="931">
      <c r="A931" t="inlineStr" s="21">
        <is>
          <t xml:space="preserve">Calculation</t>
        </is>
      </c>
      <c r="B931">
        <f>IF(IF(AND('Editable assumptions'!B16&lt;=DATE(2027,2,1),DATE(2027,2,1)&lt;=DATE(2028,5,1))="",FALSE,AND('Editable assumptions'!B16&lt;=DATE(2027,2,1),DATE(2027,2,1)&lt;=DATE(2028,5,1))),'Monthly forecast and cash'!G29,"")</f>
      </c>
    </row>
    <row r="932">
      <c r="A932" t="inlineStr" s="21">
        <is>
          <t xml:space="preserve">Calculation</t>
        </is>
      </c>
      <c r="B932">
        <f>IF(IF(AND('Editable assumptions'!B16&lt;=DATE(2027,3,1),DATE(2027,3,1)&lt;=DATE(2028,5,1))="",FALSE,AND('Editable assumptions'!B16&lt;=DATE(2027,3,1),DATE(2027,3,1)&lt;=DATE(2028,5,1))),'Monthly forecast and cash'!H29,"")</f>
      </c>
    </row>
    <row r="933">
      <c r="A933" t="inlineStr" s="21">
        <is>
          <t xml:space="preserve">Calculation</t>
        </is>
      </c>
      <c r="B933">
        <f>IF(IF(AND('Editable assumptions'!B16&lt;=DATE(2027,4,1),DATE(2027,4,1)&lt;=DATE(2028,5,1))="",FALSE,AND('Editable assumptions'!B16&lt;=DATE(2027,4,1),DATE(2027,4,1)&lt;=DATE(2028,5,1))),'Monthly forecast and cash'!I29,"")</f>
      </c>
    </row>
    <row r="934">
      <c r="A934" t="inlineStr" s="21">
        <is>
          <t xml:space="preserve">Calculation</t>
        </is>
      </c>
      <c r="B934">
        <f>IF(IF(AND('Editable assumptions'!B16&lt;=DATE(2027,5,1),DATE(2027,5,1)&lt;=DATE(2028,5,1))="",FALSE,AND('Editable assumptions'!B16&lt;=DATE(2027,5,1),DATE(2027,5,1)&lt;=DATE(2028,5,1))),'Monthly forecast and cash'!J29,"")</f>
      </c>
    </row>
    <row r="935">
      <c r="A935" t="inlineStr" s="21">
        <is>
          <t xml:space="preserve">Calculation</t>
        </is>
      </c>
      <c r="B935">
        <f>IF(IF(AND('Editable assumptions'!B16&lt;=DATE(2027,6,1),DATE(2027,6,1)&lt;=DATE(2028,5,1))="",FALSE,AND('Editable assumptions'!B16&lt;=DATE(2027,6,1),DATE(2027,6,1)&lt;=DATE(2028,5,1))),'Monthly forecast and cash'!K29,"")</f>
      </c>
    </row>
    <row r="936">
      <c r="A936" t="inlineStr" s="21">
        <is>
          <t xml:space="preserve">Calculation</t>
        </is>
      </c>
      <c r="B936">
        <f>IF(IF(AND('Editable assumptions'!B16&lt;=DATE(2027,7,1),DATE(2027,7,1)&lt;=DATE(2028,5,1))="",FALSE,AND('Editable assumptions'!B16&lt;=DATE(2027,7,1),DATE(2027,7,1)&lt;=DATE(2028,5,1))),'Monthly forecast and cash'!L29,"")</f>
      </c>
    </row>
    <row r="937">
      <c r="A937" t="inlineStr" s="21">
        <is>
          <t xml:space="preserve">Calculation</t>
        </is>
      </c>
      <c r="B937">
        <f>IF(IF(AND('Editable assumptions'!B16&lt;=DATE(2027,8,1),DATE(2027,8,1)&lt;=DATE(2028,5,1))="",FALSE,AND('Editable assumptions'!B16&lt;=DATE(2027,8,1),DATE(2027,8,1)&lt;=DATE(2028,5,1))),'Monthly forecast and cash'!M29,"")</f>
      </c>
    </row>
    <row r="938">
      <c r="A938" t="inlineStr" s="21">
        <is>
          <t xml:space="preserve">Calculation</t>
        </is>
      </c>
      <c r="B938">
        <f>IF(IF(AND('Editable assumptions'!B16&lt;=DATE(2027,9,1),DATE(2027,9,1)&lt;=DATE(2028,5,1))="",FALSE,AND('Editable assumptions'!B16&lt;=DATE(2027,9,1),DATE(2027,9,1)&lt;=DATE(2028,5,1))),'Monthly forecast and cash'!N29,"")</f>
      </c>
    </row>
    <row r="939">
      <c r="A939" t="inlineStr" s="21">
        <is>
          <t xml:space="preserve">Calculation</t>
        </is>
      </c>
      <c r="B939">
        <f>IF(IF(AND('Editable assumptions'!B16&lt;=DATE(2027,10,1),DATE(2027,10,1)&lt;=DATE(2028,5,1))="",FALSE,AND('Editable assumptions'!B16&lt;=DATE(2027,10,1),DATE(2027,10,1)&lt;=DATE(2028,5,1))),'Monthly forecast and cash'!O29,"")</f>
      </c>
    </row>
    <row r="940">
      <c r="A940" t="inlineStr" s="21">
        <is>
          <t xml:space="preserve">Calculation</t>
        </is>
      </c>
      <c r="B940">
        <f>IF(IF(AND('Editable assumptions'!B16&lt;=DATE(2027,11,1),DATE(2027,11,1)&lt;=DATE(2028,5,1))="",FALSE,AND('Editable assumptions'!B16&lt;=DATE(2027,11,1),DATE(2027,11,1)&lt;=DATE(2028,5,1))),'Monthly forecast and cash'!P29,"")</f>
      </c>
    </row>
    <row r="941">
      <c r="A941" t="inlineStr" s="21">
        <is>
          <t xml:space="preserve">Calculation</t>
        </is>
      </c>
      <c r="B941">
        <f>IF(IF(AND('Editable assumptions'!B16&lt;=DATE(2027,12,1),DATE(2027,12,1)&lt;=DATE(2028,5,1))="",FALSE,AND('Editable assumptions'!B16&lt;=DATE(2027,12,1),DATE(2027,12,1)&lt;=DATE(2028,5,1))),'Monthly forecast and cash'!Q29,"")</f>
      </c>
    </row>
    <row r="942">
      <c r="A942" t="inlineStr" s="21">
        <is>
          <t xml:space="preserve">Calculation</t>
        </is>
      </c>
      <c r="B942">
        <f>IF(IF(AND('Editable assumptions'!B16&lt;=DATE(2028,1,1),DATE(2028,1,1)&lt;=DATE(2028,5,1))="",FALSE,AND('Editable assumptions'!B16&lt;=DATE(2028,1,1),DATE(2028,1,1)&lt;=DATE(2028,5,1))),'Monthly forecast and cash'!R29,"")</f>
      </c>
    </row>
    <row r="943">
      <c r="A943" t="inlineStr" s="21">
        <is>
          <t xml:space="preserve">Calculation</t>
        </is>
      </c>
      <c r="B943">
        <f>IF(IF(AND('Editable assumptions'!B16&lt;=DATE(2028,2,1),DATE(2028,2,1)&lt;=DATE(2028,5,1))="",FALSE,AND('Editable assumptions'!B16&lt;=DATE(2028,2,1),DATE(2028,2,1)&lt;=DATE(2028,5,1))),'Monthly forecast and cash'!S29,"")</f>
      </c>
    </row>
    <row r="944">
      <c r="A944" t="inlineStr" s="21">
        <is>
          <t xml:space="preserve">Calculation</t>
        </is>
      </c>
      <c r="B944">
        <f>IF(IF(AND('Editable assumptions'!B16&lt;=DATE(2028,3,1),DATE(2028,3,1)&lt;=DATE(2028,5,1))="",FALSE,AND('Editable assumptions'!B16&lt;=DATE(2028,3,1),DATE(2028,3,1)&lt;=DATE(2028,5,1))),'Monthly forecast and cash'!T29,"")</f>
      </c>
    </row>
    <row r="945">
      <c r="A945" t="inlineStr" s="21">
        <is>
          <t xml:space="preserve">Calculation</t>
        </is>
      </c>
      <c r="B945">
        <f>IF(IF(AND('Editable assumptions'!B16&lt;=DATE(2028,4,1),DATE(2028,4,1)&lt;=DATE(2028,5,1))="",FALSE,AND('Editable assumptions'!B16&lt;=DATE(2028,4,1),DATE(2028,4,1)&lt;=DATE(2028,5,1))),'Monthly forecast and cash'!U29,"")</f>
      </c>
    </row>
    <row r="946">
      <c r="A946" t="inlineStr" s="21">
        <is>
          <t xml:space="preserve">Calculation</t>
        </is>
      </c>
      <c r="B946">
        <f>IF(IF(AND('Editable assumptions'!B16&lt;=DATE(2028,5,1),DATE(2028,5,1)&lt;=DATE(2028,5,1))="",FALSE,AND('Editable assumptions'!B16&lt;=DATE(2028,5,1),DATE(2028,5,1)&lt;=DATE(2028,5,1))),'Monthly forecast and cash'!V29,"")</f>
      </c>
    </row>
    <row r="947">
      <c r="A947" t="inlineStr" s="21">
        <is>
          <t xml:space="preserve">Calculation</t>
        </is>
      </c>
      <c r="B947">
        <f>IF(IF(AND('Editable assumptions'!B16&lt;=DATE(2028,6,1),DATE(2028,6,1)&lt;=DATE(2028,5,1))="",FALSE,AND('Editable assumptions'!B16&lt;=DATE(2028,6,1),DATE(2028,6,1)&lt;=DATE(2028,5,1))),'Monthly forecast and cash'!W29,"")</f>
      </c>
    </row>
    <row r="948">
      <c r="A948" t="inlineStr" s="21">
        <is>
          <t xml:space="preserve">Calculation</t>
        </is>
      </c>
      <c r="B948">
        <f>IF(IF(AND('Editable assumptions'!B16&lt;=DATE(2028,7,1),DATE(2028,7,1)&lt;=DATE(2028,5,1))="",FALSE,AND('Editable assumptions'!B16&lt;=DATE(2028,7,1),DATE(2028,7,1)&lt;=DATE(2028,5,1))),'Monthly forecast and cash'!X29,"")</f>
      </c>
    </row>
    <row r="949">
      <c r="A949" t="inlineStr" s="21">
        <is>
          <t xml:space="preserve">Calculation</t>
        </is>
      </c>
      <c r="B949">
        <f>IF(IF(AND('Editable assumptions'!B16&lt;=DATE(2028,8,1),DATE(2028,8,1)&lt;=DATE(2028,5,1))="",FALSE,AND('Editable assumptions'!B16&lt;=DATE(2028,8,1),DATE(2028,8,1)&lt;=DATE(2028,5,1))),'Monthly forecast and cash'!Y29,"")</f>
      </c>
    </row>
    <row r="950">
      <c r="A950" t="inlineStr" s="21">
        <is>
          <t xml:space="preserve">Calculation</t>
        </is>
      </c>
      <c r="B950">
        <f>IF(IF(AND('Editable assumptions'!B16&lt;=DATE(2028,9,1),DATE(2028,9,1)&lt;=DATE(2028,5,1))="",FALSE,AND('Editable assumptions'!B16&lt;=DATE(2028,9,1),DATE(2028,9,1)&lt;=DATE(2028,5,1))),'Monthly forecast and cash'!Z29,"")</f>
      </c>
    </row>
    <row r="951">
      <c r="A951" t="inlineStr" s="21">
        <is>
          <t xml:space="preserve">Calculation</t>
        </is>
      </c>
      <c r="B951">
        <f>IF(IF(AND('Editable assumptions'!B16&lt;=DATE(2026,1,1),DATE(2026,1,1)&lt;=DATE(2028,5,1))="",FALSE,AND('Editable assumptions'!B16&lt;=DATE(2026,1,1),DATE(2026,1,1)&lt;=DATE(2028,5,1))),'Model inputs'!D12,"")</f>
      </c>
    </row>
    <row r="952">
      <c r="A952" t="inlineStr" s="21">
        <is>
          <t xml:space="preserve">Calculation</t>
        </is>
      </c>
      <c r="B952">
        <f>IF(IF(AND('Editable assumptions'!B16&lt;=DATE(2026,2,1),DATE(2026,2,1)&lt;=DATE(2028,5,1))="",FALSE,AND('Editable assumptions'!B16&lt;=DATE(2026,2,1),DATE(2026,2,1)&lt;=DATE(2028,5,1))),'Model inputs'!E12,"")</f>
      </c>
    </row>
    <row r="953">
      <c r="A953" t="inlineStr" s="21">
        <is>
          <t xml:space="preserve">Calculation</t>
        </is>
      </c>
      <c r="B953">
        <f>IF(IF(AND('Editable assumptions'!B16&lt;=DATE(2026,3,1),DATE(2026,3,1)&lt;=DATE(2028,5,1))="",FALSE,AND('Editable assumptions'!B16&lt;=DATE(2026,3,1),DATE(2026,3,1)&lt;=DATE(2028,5,1))),'Model inputs'!F12,"")</f>
      </c>
    </row>
    <row r="954">
      <c r="A954" t="inlineStr" s="21">
        <is>
          <t xml:space="preserve">Calculation</t>
        </is>
      </c>
      <c r="B954">
        <f>IF(IF(AND('Editable assumptions'!B16&lt;=DATE(2026,4,1),DATE(2026,4,1)&lt;=DATE(2028,5,1))="",FALSE,AND('Editable assumptions'!B16&lt;=DATE(2026,4,1),DATE(2026,4,1)&lt;=DATE(2028,5,1))),'Model inputs'!G12,"")</f>
      </c>
    </row>
    <row r="955">
      <c r="A955" t="inlineStr" s="21">
        <is>
          <t xml:space="preserve">Calculation</t>
        </is>
      </c>
      <c r="B955">
        <f>IF(IF(AND('Editable assumptions'!B16&lt;=DATE(2026,5,1),DATE(2026,5,1)&lt;=DATE(2028,5,1))="",FALSE,AND('Editable assumptions'!B16&lt;=DATE(2026,5,1),DATE(2026,5,1)&lt;=DATE(2028,5,1))),'Model inputs'!H12,"")</f>
      </c>
    </row>
    <row r="956">
      <c r="A956" t="inlineStr" s="21">
        <is>
          <t xml:space="preserve">Calculation</t>
        </is>
      </c>
      <c r="B956">
        <f>IF(IF(AND('Editable assumptions'!B16&lt;=DATE(2026,6,1),DATE(2026,6,1)&lt;=DATE(2028,5,1))="",FALSE,AND('Editable assumptions'!B16&lt;=DATE(2026,6,1),DATE(2026,6,1)&lt;=DATE(2028,5,1))),'Model inputs'!I12,"")</f>
      </c>
    </row>
    <row r="957">
      <c r="A957" t="inlineStr" s="21">
        <is>
          <t xml:space="preserve">Calculation</t>
        </is>
      </c>
      <c r="B957">
        <f>IF(IF(AND('Editable assumptions'!B16&lt;=DATE(2026,7,1),DATE(2026,7,1)&lt;=DATE(2028,5,1))="",FALSE,AND('Editable assumptions'!B16&lt;=DATE(2026,7,1),DATE(2026,7,1)&lt;=DATE(2028,5,1))),'Model inputs'!J12,"")</f>
      </c>
    </row>
    <row r="958">
      <c r="A958" t="inlineStr" s="21">
        <is>
          <t xml:space="preserve">Calculation</t>
        </is>
      </c>
      <c r="B958">
        <f>IF(IF(AND('Editable assumptions'!B16&lt;=DATE(2026,8,1),DATE(2026,8,1)&lt;=DATE(2028,5,1))="",FALSE,AND('Editable assumptions'!B16&lt;=DATE(2026,8,1),DATE(2026,8,1)&lt;=DATE(2028,5,1))),'Model inputs'!K12,"")</f>
      </c>
    </row>
    <row r="959">
      <c r="A959" t="inlineStr" s="21">
        <is>
          <t xml:space="preserve">Calculation</t>
        </is>
      </c>
      <c r="B959">
        <f>IF(AND('Model inputs'!B926="",'Model inputs'!B927="",'Model inputs'!B928="",'Model inputs'!B929="",'Model inputs'!B930="",'Model inputs'!B931="",'Model inputs'!B932="",'Model inputs'!B933="",'Model inputs'!B934="",'Model inputs'!B935="",'Model inputs'!B936="",'Model inputs'!B937="",'Model inputs'!B938="",'Model inputs'!B939="",'Model inputs'!B940="",'Model inputs'!B941="",'Model inputs'!B942="",'Model inputs'!B943="",'Model inputs'!B944="",'Model inputs'!B945="",'Model inputs'!B946="",'Model inputs'!B947="",'Model inputs'!B948="",'Model inputs'!B949="",'Model inputs'!B950="",'Model inputs'!B951="",'Model inputs'!B952="",'Model inputs'!B953="",'Model inputs'!B954="",'Model inputs'!B955="",'Model inputs'!B956="",'Model inputs'!B957="",'Model inputs'!B958=""),"",MIN('Model inputs'!B926,'Model inputs'!B927,'Model inputs'!B928,'Model inputs'!B929,'Model inputs'!B930,'Model inputs'!B931,'Model inputs'!B932,'Model inputs'!B933,'Model inputs'!B934,'Model inputs'!B935,'Model inputs'!B936,'Model inputs'!B937,'Model inputs'!B938,'Model inputs'!B939,'Model inputs'!B940,'Model inputs'!B941,'Model inputs'!B942,'Model inputs'!B943,'Model inputs'!B944,'Model inputs'!B945,'Model inputs'!B946,'Model inputs'!B947,'Model inputs'!B948,'Model inputs'!B949,'Model inputs'!B950,'Model inputs'!B951,'Model inputs'!B952,'Model inputs'!B953,'Model inputs'!B954,'Model inputs'!B955,'Model inputs'!B956,'Model inputs'!B957,'Model inputs'!B958))</f>
      </c>
    </row>
    <row r="960">
      <c r="A960" t="inlineStr" s="21">
        <is>
          <t xml:space="preserve">Calculation</t>
        </is>
      </c>
      <c r="B960">
        <f>IF(IF(AND('Editable assumptions'!B16&lt;=DATE(2026,9,1),DATE(2026,9,1)&lt;=DATE(2028,6,1))="",FALSE,AND('Editable assumptions'!B16&lt;=DATE(2026,9,1),DATE(2026,9,1)&lt;=DATE(2028,6,1))),'Monthly forecast and cash'!B29,"")</f>
      </c>
    </row>
    <row r="961">
      <c r="A961" t="inlineStr" s="21">
        <is>
          <t xml:space="preserve">Calculation</t>
        </is>
      </c>
      <c r="B961">
        <f>IF(IF(AND('Editable assumptions'!B16&lt;=DATE(2026,10,1),DATE(2026,10,1)&lt;=DATE(2028,6,1))="",FALSE,AND('Editable assumptions'!B16&lt;=DATE(2026,10,1),DATE(2026,10,1)&lt;=DATE(2028,6,1))),'Monthly forecast and cash'!C29,"")</f>
      </c>
    </row>
    <row r="962">
      <c r="A962" t="inlineStr" s="21">
        <is>
          <t xml:space="preserve">Calculation</t>
        </is>
      </c>
      <c r="B962">
        <f>IF(IF(AND('Editable assumptions'!B16&lt;=DATE(2026,11,1),DATE(2026,11,1)&lt;=DATE(2028,6,1))="",FALSE,AND('Editable assumptions'!B16&lt;=DATE(2026,11,1),DATE(2026,11,1)&lt;=DATE(2028,6,1))),'Monthly forecast and cash'!D29,"")</f>
      </c>
    </row>
    <row r="963">
      <c r="A963" t="inlineStr" s="21">
        <is>
          <t xml:space="preserve">Calculation</t>
        </is>
      </c>
      <c r="B963">
        <f>IF(IF(AND('Editable assumptions'!B16&lt;=DATE(2026,12,1),DATE(2026,12,1)&lt;=DATE(2028,6,1))="",FALSE,AND('Editable assumptions'!B16&lt;=DATE(2026,12,1),DATE(2026,12,1)&lt;=DATE(2028,6,1))),'Monthly forecast and cash'!E29,"")</f>
      </c>
    </row>
    <row r="964">
      <c r="A964" t="inlineStr" s="21">
        <is>
          <t xml:space="preserve">Calculation</t>
        </is>
      </c>
      <c r="B964">
        <f>IF(IF(AND('Editable assumptions'!B16&lt;=DATE(2027,1,1),DATE(2027,1,1)&lt;=DATE(2028,6,1))="",FALSE,AND('Editable assumptions'!B16&lt;=DATE(2027,1,1),DATE(2027,1,1)&lt;=DATE(2028,6,1))),'Monthly forecast and cash'!F29,"")</f>
      </c>
    </row>
    <row r="965">
      <c r="A965" t="inlineStr" s="21">
        <is>
          <t xml:space="preserve">Calculation</t>
        </is>
      </c>
      <c r="B965">
        <f>IF(IF(AND('Editable assumptions'!B16&lt;=DATE(2027,2,1),DATE(2027,2,1)&lt;=DATE(2028,6,1))="",FALSE,AND('Editable assumptions'!B16&lt;=DATE(2027,2,1),DATE(2027,2,1)&lt;=DATE(2028,6,1))),'Monthly forecast and cash'!G29,"")</f>
      </c>
    </row>
    <row r="966">
      <c r="A966" t="inlineStr" s="21">
        <is>
          <t xml:space="preserve">Calculation</t>
        </is>
      </c>
      <c r="B966">
        <f>IF(IF(AND('Editable assumptions'!B16&lt;=DATE(2027,3,1),DATE(2027,3,1)&lt;=DATE(2028,6,1))="",FALSE,AND('Editable assumptions'!B16&lt;=DATE(2027,3,1),DATE(2027,3,1)&lt;=DATE(2028,6,1))),'Monthly forecast and cash'!H29,"")</f>
      </c>
    </row>
    <row r="967">
      <c r="A967" t="inlineStr" s="21">
        <is>
          <t xml:space="preserve">Calculation</t>
        </is>
      </c>
      <c r="B967">
        <f>IF(IF(AND('Editable assumptions'!B16&lt;=DATE(2027,4,1),DATE(2027,4,1)&lt;=DATE(2028,6,1))="",FALSE,AND('Editable assumptions'!B16&lt;=DATE(2027,4,1),DATE(2027,4,1)&lt;=DATE(2028,6,1))),'Monthly forecast and cash'!I29,"")</f>
      </c>
    </row>
    <row r="968">
      <c r="A968" t="inlineStr" s="21">
        <is>
          <t xml:space="preserve">Calculation</t>
        </is>
      </c>
      <c r="B968">
        <f>IF(IF(AND('Editable assumptions'!B16&lt;=DATE(2027,5,1),DATE(2027,5,1)&lt;=DATE(2028,6,1))="",FALSE,AND('Editable assumptions'!B16&lt;=DATE(2027,5,1),DATE(2027,5,1)&lt;=DATE(2028,6,1))),'Monthly forecast and cash'!J29,"")</f>
      </c>
    </row>
    <row r="969">
      <c r="A969" t="inlineStr" s="21">
        <is>
          <t xml:space="preserve">Calculation</t>
        </is>
      </c>
      <c r="B969">
        <f>IF(IF(AND('Editable assumptions'!B16&lt;=DATE(2027,6,1),DATE(2027,6,1)&lt;=DATE(2028,6,1))="",FALSE,AND('Editable assumptions'!B16&lt;=DATE(2027,6,1),DATE(2027,6,1)&lt;=DATE(2028,6,1))),'Monthly forecast and cash'!K29,"")</f>
      </c>
    </row>
    <row r="970">
      <c r="A970" t="inlineStr" s="21">
        <is>
          <t xml:space="preserve">Calculation</t>
        </is>
      </c>
      <c r="B970">
        <f>IF(IF(AND('Editable assumptions'!B16&lt;=DATE(2027,7,1),DATE(2027,7,1)&lt;=DATE(2028,6,1))="",FALSE,AND('Editable assumptions'!B16&lt;=DATE(2027,7,1),DATE(2027,7,1)&lt;=DATE(2028,6,1))),'Monthly forecast and cash'!L29,"")</f>
      </c>
    </row>
    <row r="971">
      <c r="A971" t="inlineStr" s="21">
        <is>
          <t xml:space="preserve">Calculation</t>
        </is>
      </c>
      <c r="B971">
        <f>IF(IF(AND('Editable assumptions'!B16&lt;=DATE(2027,8,1),DATE(2027,8,1)&lt;=DATE(2028,6,1))="",FALSE,AND('Editable assumptions'!B16&lt;=DATE(2027,8,1),DATE(2027,8,1)&lt;=DATE(2028,6,1))),'Monthly forecast and cash'!M29,"")</f>
      </c>
    </row>
    <row r="972">
      <c r="A972" t="inlineStr" s="21">
        <is>
          <t xml:space="preserve">Calculation</t>
        </is>
      </c>
      <c r="B972">
        <f>IF(IF(AND('Editable assumptions'!B16&lt;=DATE(2027,9,1),DATE(2027,9,1)&lt;=DATE(2028,6,1))="",FALSE,AND('Editable assumptions'!B16&lt;=DATE(2027,9,1),DATE(2027,9,1)&lt;=DATE(2028,6,1))),'Monthly forecast and cash'!N29,"")</f>
      </c>
    </row>
    <row r="973">
      <c r="A973" t="inlineStr" s="21">
        <is>
          <t xml:space="preserve">Calculation</t>
        </is>
      </c>
      <c r="B973">
        <f>IF(IF(AND('Editable assumptions'!B16&lt;=DATE(2027,10,1),DATE(2027,10,1)&lt;=DATE(2028,6,1))="",FALSE,AND('Editable assumptions'!B16&lt;=DATE(2027,10,1),DATE(2027,10,1)&lt;=DATE(2028,6,1))),'Monthly forecast and cash'!O29,"")</f>
      </c>
    </row>
    <row r="974">
      <c r="A974" t="inlineStr" s="21">
        <is>
          <t xml:space="preserve">Calculation</t>
        </is>
      </c>
      <c r="B974">
        <f>IF(IF(AND('Editable assumptions'!B16&lt;=DATE(2027,11,1),DATE(2027,11,1)&lt;=DATE(2028,6,1))="",FALSE,AND('Editable assumptions'!B16&lt;=DATE(2027,11,1),DATE(2027,11,1)&lt;=DATE(2028,6,1))),'Monthly forecast and cash'!P29,"")</f>
      </c>
    </row>
    <row r="975">
      <c r="A975" t="inlineStr" s="21">
        <is>
          <t xml:space="preserve">Calculation</t>
        </is>
      </c>
      <c r="B975">
        <f>IF(IF(AND('Editable assumptions'!B16&lt;=DATE(2027,12,1),DATE(2027,12,1)&lt;=DATE(2028,6,1))="",FALSE,AND('Editable assumptions'!B16&lt;=DATE(2027,12,1),DATE(2027,12,1)&lt;=DATE(2028,6,1))),'Monthly forecast and cash'!Q29,"")</f>
      </c>
    </row>
    <row r="976">
      <c r="A976" t="inlineStr" s="21">
        <is>
          <t xml:space="preserve">Calculation</t>
        </is>
      </c>
      <c r="B976">
        <f>IF(IF(AND('Editable assumptions'!B16&lt;=DATE(2028,1,1),DATE(2028,1,1)&lt;=DATE(2028,6,1))="",FALSE,AND('Editable assumptions'!B16&lt;=DATE(2028,1,1),DATE(2028,1,1)&lt;=DATE(2028,6,1))),'Monthly forecast and cash'!R29,"")</f>
      </c>
    </row>
    <row r="977">
      <c r="A977" t="inlineStr" s="21">
        <is>
          <t xml:space="preserve">Calculation</t>
        </is>
      </c>
      <c r="B977">
        <f>IF(IF(AND('Editable assumptions'!B16&lt;=DATE(2028,2,1),DATE(2028,2,1)&lt;=DATE(2028,6,1))="",FALSE,AND('Editable assumptions'!B16&lt;=DATE(2028,2,1),DATE(2028,2,1)&lt;=DATE(2028,6,1))),'Monthly forecast and cash'!S29,"")</f>
      </c>
    </row>
    <row r="978">
      <c r="A978" t="inlineStr" s="21">
        <is>
          <t xml:space="preserve">Calculation</t>
        </is>
      </c>
      <c r="B978">
        <f>IF(IF(AND('Editable assumptions'!B16&lt;=DATE(2028,3,1),DATE(2028,3,1)&lt;=DATE(2028,6,1))="",FALSE,AND('Editable assumptions'!B16&lt;=DATE(2028,3,1),DATE(2028,3,1)&lt;=DATE(2028,6,1))),'Monthly forecast and cash'!T29,"")</f>
      </c>
    </row>
    <row r="979">
      <c r="A979" t="inlineStr" s="21">
        <is>
          <t xml:space="preserve">Calculation</t>
        </is>
      </c>
      <c r="B979">
        <f>IF(IF(AND('Editable assumptions'!B16&lt;=DATE(2028,4,1),DATE(2028,4,1)&lt;=DATE(2028,6,1))="",FALSE,AND('Editable assumptions'!B16&lt;=DATE(2028,4,1),DATE(2028,4,1)&lt;=DATE(2028,6,1))),'Monthly forecast and cash'!U29,"")</f>
      </c>
    </row>
    <row r="980">
      <c r="A980" t="inlineStr" s="21">
        <is>
          <t xml:space="preserve">Calculation</t>
        </is>
      </c>
      <c r="B980">
        <f>IF(IF(AND('Editable assumptions'!B16&lt;=DATE(2028,5,1),DATE(2028,5,1)&lt;=DATE(2028,6,1))="",FALSE,AND('Editable assumptions'!B16&lt;=DATE(2028,5,1),DATE(2028,5,1)&lt;=DATE(2028,6,1))),'Monthly forecast and cash'!V29,"")</f>
      </c>
    </row>
    <row r="981">
      <c r="A981" t="inlineStr" s="21">
        <is>
          <t xml:space="preserve">Calculation</t>
        </is>
      </c>
      <c r="B981">
        <f>IF(IF(AND('Editable assumptions'!B16&lt;=DATE(2028,6,1),DATE(2028,6,1)&lt;=DATE(2028,6,1))="",FALSE,AND('Editable assumptions'!B16&lt;=DATE(2028,6,1),DATE(2028,6,1)&lt;=DATE(2028,6,1))),'Monthly forecast and cash'!W29,"")</f>
      </c>
    </row>
    <row r="982">
      <c r="A982" t="inlineStr" s="21">
        <is>
          <t xml:space="preserve">Calculation</t>
        </is>
      </c>
      <c r="B982">
        <f>IF(IF(AND('Editable assumptions'!B16&lt;=DATE(2028,7,1),DATE(2028,7,1)&lt;=DATE(2028,6,1))="",FALSE,AND('Editable assumptions'!B16&lt;=DATE(2028,7,1),DATE(2028,7,1)&lt;=DATE(2028,6,1))),'Monthly forecast and cash'!X29,"")</f>
      </c>
    </row>
    <row r="983">
      <c r="A983" t="inlineStr" s="21">
        <is>
          <t xml:space="preserve">Calculation</t>
        </is>
      </c>
      <c r="B983">
        <f>IF(IF(AND('Editable assumptions'!B16&lt;=DATE(2028,8,1),DATE(2028,8,1)&lt;=DATE(2028,6,1))="",FALSE,AND('Editable assumptions'!B16&lt;=DATE(2028,8,1),DATE(2028,8,1)&lt;=DATE(2028,6,1))),'Monthly forecast and cash'!Y29,"")</f>
      </c>
    </row>
    <row r="984">
      <c r="A984" t="inlineStr" s="21">
        <is>
          <t xml:space="preserve">Calculation</t>
        </is>
      </c>
      <c r="B984">
        <f>IF(IF(AND('Editable assumptions'!B16&lt;=DATE(2028,9,1),DATE(2028,9,1)&lt;=DATE(2028,6,1))="",FALSE,AND('Editable assumptions'!B16&lt;=DATE(2028,9,1),DATE(2028,9,1)&lt;=DATE(2028,6,1))),'Monthly forecast and cash'!Z29,"")</f>
      </c>
    </row>
    <row r="985">
      <c r="A985" t="inlineStr" s="21">
        <is>
          <t xml:space="preserve">Calculation</t>
        </is>
      </c>
      <c r="B985">
        <f>IF(IF(AND('Editable assumptions'!B16&lt;=DATE(2026,1,1),DATE(2026,1,1)&lt;=DATE(2028,6,1))="",FALSE,AND('Editable assumptions'!B16&lt;=DATE(2026,1,1),DATE(2026,1,1)&lt;=DATE(2028,6,1))),'Model inputs'!D12,"")</f>
      </c>
    </row>
    <row r="986">
      <c r="A986" t="inlineStr" s="21">
        <is>
          <t xml:space="preserve">Calculation</t>
        </is>
      </c>
      <c r="B986">
        <f>IF(IF(AND('Editable assumptions'!B16&lt;=DATE(2026,2,1),DATE(2026,2,1)&lt;=DATE(2028,6,1))="",FALSE,AND('Editable assumptions'!B16&lt;=DATE(2026,2,1),DATE(2026,2,1)&lt;=DATE(2028,6,1))),'Model inputs'!E12,"")</f>
      </c>
    </row>
    <row r="987">
      <c r="A987" t="inlineStr" s="21">
        <is>
          <t xml:space="preserve">Calculation</t>
        </is>
      </c>
      <c r="B987">
        <f>IF(IF(AND('Editable assumptions'!B16&lt;=DATE(2026,3,1),DATE(2026,3,1)&lt;=DATE(2028,6,1))="",FALSE,AND('Editable assumptions'!B16&lt;=DATE(2026,3,1),DATE(2026,3,1)&lt;=DATE(2028,6,1))),'Model inputs'!F12,"")</f>
      </c>
    </row>
    <row r="988">
      <c r="A988" t="inlineStr" s="21">
        <is>
          <t xml:space="preserve">Calculation</t>
        </is>
      </c>
      <c r="B988">
        <f>IF(IF(AND('Editable assumptions'!B16&lt;=DATE(2026,4,1),DATE(2026,4,1)&lt;=DATE(2028,6,1))="",FALSE,AND('Editable assumptions'!B16&lt;=DATE(2026,4,1),DATE(2026,4,1)&lt;=DATE(2028,6,1))),'Model inputs'!G12,"")</f>
      </c>
    </row>
    <row r="989">
      <c r="A989" t="inlineStr" s="21">
        <is>
          <t xml:space="preserve">Calculation</t>
        </is>
      </c>
      <c r="B989">
        <f>IF(IF(AND('Editable assumptions'!B16&lt;=DATE(2026,5,1),DATE(2026,5,1)&lt;=DATE(2028,6,1))="",FALSE,AND('Editable assumptions'!B16&lt;=DATE(2026,5,1),DATE(2026,5,1)&lt;=DATE(2028,6,1))),'Model inputs'!H12,"")</f>
      </c>
    </row>
    <row r="990">
      <c r="A990" t="inlineStr" s="21">
        <is>
          <t xml:space="preserve">Calculation</t>
        </is>
      </c>
      <c r="B990">
        <f>IF(IF(AND('Editable assumptions'!B16&lt;=DATE(2026,6,1),DATE(2026,6,1)&lt;=DATE(2028,6,1))="",FALSE,AND('Editable assumptions'!B16&lt;=DATE(2026,6,1),DATE(2026,6,1)&lt;=DATE(2028,6,1))),'Model inputs'!I12,"")</f>
      </c>
    </row>
    <row r="991">
      <c r="A991" t="inlineStr" s="21">
        <is>
          <t xml:space="preserve">Calculation</t>
        </is>
      </c>
      <c r="B991">
        <f>IF(IF(AND('Editable assumptions'!B16&lt;=DATE(2026,7,1),DATE(2026,7,1)&lt;=DATE(2028,6,1))="",FALSE,AND('Editable assumptions'!B16&lt;=DATE(2026,7,1),DATE(2026,7,1)&lt;=DATE(2028,6,1))),'Model inputs'!J12,"")</f>
      </c>
    </row>
    <row r="992">
      <c r="A992" t="inlineStr" s="21">
        <is>
          <t xml:space="preserve">Calculation</t>
        </is>
      </c>
      <c r="B992">
        <f>IF(IF(AND('Editable assumptions'!B16&lt;=DATE(2026,8,1),DATE(2026,8,1)&lt;=DATE(2028,6,1))="",FALSE,AND('Editable assumptions'!B16&lt;=DATE(2026,8,1),DATE(2026,8,1)&lt;=DATE(2028,6,1))),'Model inputs'!K12,"")</f>
      </c>
    </row>
    <row r="993">
      <c r="A993" t="inlineStr" s="21">
        <is>
          <t xml:space="preserve">Calculation</t>
        </is>
      </c>
      <c r="B993">
        <f>IF(AND('Model inputs'!B960="",'Model inputs'!B961="",'Model inputs'!B962="",'Model inputs'!B963="",'Model inputs'!B964="",'Model inputs'!B965="",'Model inputs'!B966="",'Model inputs'!B967="",'Model inputs'!B968="",'Model inputs'!B969="",'Model inputs'!B970="",'Model inputs'!B971="",'Model inputs'!B972="",'Model inputs'!B973="",'Model inputs'!B974="",'Model inputs'!B975="",'Model inputs'!B976="",'Model inputs'!B977="",'Model inputs'!B978="",'Model inputs'!B979="",'Model inputs'!B980="",'Model inputs'!B981="",'Model inputs'!B982="",'Model inputs'!B983="",'Model inputs'!B984="",'Model inputs'!B985="",'Model inputs'!B986="",'Model inputs'!B987="",'Model inputs'!B988="",'Model inputs'!B989="",'Model inputs'!B990="",'Model inputs'!B991="",'Model inputs'!B992=""),"",MIN('Model inputs'!B960,'Model inputs'!B961,'Model inputs'!B962,'Model inputs'!B963,'Model inputs'!B964,'Model inputs'!B965,'Model inputs'!B966,'Model inputs'!B967,'Model inputs'!B968,'Model inputs'!B969,'Model inputs'!B970,'Model inputs'!B971,'Model inputs'!B972,'Model inputs'!B973,'Model inputs'!B974,'Model inputs'!B975,'Model inputs'!B976,'Model inputs'!B977,'Model inputs'!B978,'Model inputs'!B979,'Model inputs'!B980,'Model inputs'!B981,'Model inputs'!B982,'Model inputs'!B983,'Model inputs'!B984,'Model inputs'!B985,'Model inputs'!B986,'Model inputs'!B987,'Model inputs'!B988,'Model inputs'!B989,'Model inputs'!B990,'Model inputs'!B991,'Model inputs'!B992))</f>
      </c>
    </row>
    <row r="994">
      <c r="A994" t="inlineStr" s="21">
        <is>
          <t xml:space="preserve">Calculation</t>
        </is>
      </c>
      <c r="B994">
        <f>IF(IF(AND('Editable assumptions'!B16&lt;=DATE(2026,9,1),DATE(2026,9,1)&lt;=DATE(2028,7,1))="",FALSE,AND('Editable assumptions'!B16&lt;=DATE(2026,9,1),DATE(2026,9,1)&lt;=DATE(2028,7,1))),'Monthly forecast and cash'!B29,"")</f>
      </c>
    </row>
    <row r="995">
      <c r="A995" t="inlineStr" s="21">
        <is>
          <t xml:space="preserve">Calculation</t>
        </is>
      </c>
      <c r="B995">
        <f>IF(IF(AND('Editable assumptions'!B16&lt;=DATE(2026,10,1),DATE(2026,10,1)&lt;=DATE(2028,7,1))="",FALSE,AND('Editable assumptions'!B16&lt;=DATE(2026,10,1),DATE(2026,10,1)&lt;=DATE(2028,7,1))),'Monthly forecast and cash'!C29,"")</f>
      </c>
    </row>
    <row r="996">
      <c r="A996" t="inlineStr" s="21">
        <is>
          <t xml:space="preserve">Calculation</t>
        </is>
      </c>
      <c r="B996">
        <f>IF(IF(AND('Editable assumptions'!B16&lt;=DATE(2026,11,1),DATE(2026,11,1)&lt;=DATE(2028,7,1))="",FALSE,AND('Editable assumptions'!B16&lt;=DATE(2026,11,1),DATE(2026,11,1)&lt;=DATE(2028,7,1))),'Monthly forecast and cash'!D29,"")</f>
      </c>
    </row>
    <row r="997">
      <c r="A997" t="inlineStr" s="21">
        <is>
          <t xml:space="preserve">Calculation</t>
        </is>
      </c>
      <c r="B997">
        <f>IF(IF(AND('Editable assumptions'!B16&lt;=DATE(2026,12,1),DATE(2026,12,1)&lt;=DATE(2028,7,1))="",FALSE,AND('Editable assumptions'!B16&lt;=DATE(2026,12,1),DATE(2026,12,1)&lt;=DATE(2028,7,1))),'Monthly forecast and cash'!E29,"")</f>
      </c>
    </row>
    <row r="998">
      <c r="A998" t="inlineStr" s="21">
        <is>
          <t xml:space="preserve">Calculation</t>
        </is>
      </c>
      <c r="B998">
        <f>IF(IF(AND('Editable assumptions'!B16&lt;=DATE(2027,1,1),DATE(2027,1,1)&lt;=DATE(2028,7,1))="",FALSE,AND('Editable assumptions'!B16&lt;=DATE(2027,1,1),DATE(2027,1,1)&lt;=DATE(2028,7,1))),'Monthly forecast and cash'!F29,"")</f>
      </c>
    </row>
    <row r="999">
      <c r="A999" t="inlineStr" s="21">
        <is>
          <t xml:space="preserve">Calculation</t>
        </is>
      </c>
      <c r="B999">
        <f>IF(IF(AND('Editable assumptions'!B16&lt;=DATE(2027,2,1),DATE(2027,2,1)&lt;=DATE(2028,7,1))="",FALSE,AND('Editable assumptions'!B16&lt;=DATE(2027,2,1),DATE(2027,2,1)&lt;=DATE(2028,7,1))),'Monthly forecast and cash'!G29,"")</f>
      </c>
    </row>
    <row r="1000">
      <c r="A1000" t="inlineStr" s="21">
        <is>
          <t xml:space="preserve">Calculation</t>
        </is>
      </c>
      <c r="B1000">
        <f>IF(IF(AND('Editable assumptions'!B16&lt;=DATE(2027,3,1),DATE(2027,3,1)&lt;=DATE(2028,7,1))="",FALSE,AND('Editable assumptions'!B16&lt;=DATE(2027,3,1),DATE(2027,3,1)&lt;=DATE(2028,7,1))),'Monthly forecast and cash'!H29,"")</f>
      </c>
    </row>
    <row r="1001">
      <c r="A1001" t="inlineStr" s="21">
        <is>
          <t xml:space="preserve">Calculation</t>
        </is>
      </c>
      <c r="B1001">
        <f>IF(IF(AND('Editable assumptions'!B16&lt;=DATE(2027,4,1),DATE(2027,4,1)&lt;=DATE(2028,7,1))="",FALSE,AND('Editable assumptions'!B16&lt;=DATE(2027,4,1),DATE(2027,4,1)&lt;=DATE(2028,7,1))),'Monthly forecast and cash'!I29,"")</f>
      </c>
    </row>
    <row r="1002">
      <c r="A1002" t="inlineStr" s="21">
        <is>
          <t xml:space="preserve">Calculation</t>
        </is>
      </c>
      <c r="B1002">
        <f>IF(IF(AND('Editable assumptions'!B16&lt;=DATE(2027,5,1),DATE(2027,5,1)&lt;=DATE(2028,7,1))="",FALSE,AND('Editable assumptions'!B16&lt;=DATE(2027,5,1),DATE(2027,5,1)&lt;=DATE(2028,7,1))),'Monthly forecast and cash'!J29,"")</f>
      </c>
    </row>
    <row r="1003">
      <c r="A1003" t="inlineStr" s="21">
        <is>
          <t xml:space="preserve">Calculation</t>
        </is>
      </c>
      <c r="B1003">
        <f>IF(IF(AND('Editable assumptions'!B16&lt;=DATE(2027,6,1),DATE(2027,6,1)&lt;=DATE(2028,7,1))="",FALSE,AND('Editable assumptions'!B16&lt;=DATE(2027,6,1),DATE(2027,6,1)&lt;=DATE(2028,7,1))),'Monthly forecast and cash'!K29,"")</f>
      </c>
    </row>
    <row r="1004">
      <c r="A1004" t="inlineStr" s="21">
        <is>
          <t xml:space="preserve">Calculation</t>
        </is>
      </c>
      <c r="B1004">
        <f>IF(IF(AND('Editable assumptions'!B16&lt;=DATE(2027,7,1),DATE(2027,7,1)&lt;=DATE(2028,7,1))="",FALSE,AND('Editable assumptions'!B16&lt;=DATE(2027,7,1),DATE(2027,7,1)&lt;=DATE(2028,7,1))),'Monthly forecast and cash'!L29,"")</f>
      </c>
    </row>
    <row r="1005">
      <c r="A1005" t="inlineStr" s="21">
        <is>
          <t xml:space="preserve">Calculation</t>
        </is>
      </c>
      <c r="B1005">
        <f>IF(IF(AND('Editable assumptions'!B16&lt;=DATE(2027,8,1),DATE(2027,8,1)&lt;=DATE(2028,7,1))="",FALSE,AND('Editable assumptions'!B16&lt;=DATE(2027,8,1),DATE(2027,8,1)&lt;=DATE(2028,7,1))),'Monthly forecast and cash'!M29,"")</f>
      </c>
    </row>
    <row r="1006">
      <c r="A1006" t="inlineStr" s="21">
        <is>
          <t xml:space="preserve">Calculation</t>
        </is>
      </c>
      <c r="B1006">
        <f>IF(IF(AND('Editable assumptions'!B16&lt;=DATE(2027,9,1),DATE(2027,9,1)&lt;=DATE(2028,7,1))="",FALSE,AND('Editable assumptions'!B16&lt;=DATE(2027,9,1),DATE(2027,9,1)&lt;=DATE(2028,7,1))),'Monthly forecast and cash'!N29,"")</f>
      </c>
    </row>
    <row r="1007">
      <c r="A1007" t="inlineStr" s="21">
        <is>
          <t xml:space="preserve">Calculation</t>
        </is>
      </c>
      <c r="B1007">
        <f>IF(IF(AND('Editable assumptions'!B16&lt;=DATE(2027,10,1),DATE(2027,10,1)&lt;=DATE(2028,7,1))="",FALSE,AND('Editable assumptions'!B16&lt;=DATE(2027,10,1),DATE(2027,10,1)&lt;=DATE(2028,7,1))),'Monthly forecast and cash'!O29,"")</f>
      </c>
    </row>
    <row r="1008">
      <c r="A1008" t="inlineStr" s="21">
        <is>
          <t xml:space="preserve">Calculation</t>
        </is>
      </c>
      <c r="B1008">
        <f>IF(IF(AND('Editable assumptions'!B16&lt;=DATE(2027,11,1),DATE(2027,11,1)&lt;=DATE(2028,7,1))="",FALSE,AND('Editable assumptions'!B16&lt;=DATE(2027,11,1),DATE(2027,11,1)&lt;=DATE(2028,7,1))),'Monthly forecast and cash'!P29,"")</f>
      </c>
    </row>
    <row r="1009">
      <c r="A1009" t="inlineStr" s="21">
        <is>
          <t xml:space="preserve">Calculation</t>
        </is>
      </c>
      <c r="B1009">
        <f>IF(IF(AND('Editable assumptions'!B16&lt;=DATE(2027,12,1),DATE(2027,12,1)&lt;=DATE(2028,7,1))="",FALSE,AND('Editable assumptions'!B16&lt;=DATE(2027,12,1),DATE(2027,12,1)&lt;=DATE(2028,7,1))),'Monthly forecast and cash'!Q29,"")</f>
      </c>
    </row>
    <row r="1010">
      <c r="A1010" t="inlineStr" s="21">
        <is>
          <t xml:space="preserve">Calculation</t>
        </is>
      </c>
      <c r="B1010">
        <f>IF(IF(AND('Editable assumptions'!B16&lt;=DATE(2028,1,1),DATE(2028,1,1)&lt;=DATE(2028,7,1))="",FALSE,AND('Editable assumptions'!B16&lt;=DATE(2028,1,1),DATE(2028,1,1)&lt;=DATE(2028,7,1))),'Monthly forecast and cash'!R29,"")</f>
      </c>
    </row>
    <row r="1011">
      <c r="A1011" t="inlineStr" s="21">
        <is>
          <t xml:space="preserve">Calculation</t>
        </is>
      </c>
      <c r="B1011">
        <f>IF(IF(AND('Editable assumptions'!B16&lt;=DATE(2028,2,1),DATE(2028,2,1)&lt;=DATE(2028,7,1))="",FALSE,AND('Editable assumptions'!B16&lt;=DATE(2028,2,1),DATE(2028,2,1)&lt;=DATE(2028,7,1))),'Monthly forecast and cash'!S29,"")</f>
      </c>
    </row>
    <row r="1012">
      <c r="A1012" t="inlineStr" s="21">
        <is>
          <t xml:space="preserve">Calculation</t>
        </is>
      </c>
      <c r="B1012">
        <f>IF(IF(AND('Editable assumptions'!B16&lt;=DATE(2028,3,1),DATE(2028,3,1)&lt;=DATE(2028,7,1))="",FALSE,AND('Editable assumptions'!B16&lt;=DATE(2028,3,1),DATE(2028,3,1)&lt;=DATE(2028,7,1))),'Monthly forecast and cash'!T29,"")</f>
      </c>
    </row>
    <row r="1013">
      <c r="A1013" t="inlineStr" s="21">
        <is>
          <t xml:space="preserve">Calculation</t>
        </is>
      </c>
      <c r="B1013">
        <f>IF(IF(AND('Editable assumptions'!B16&lt;=DATE(2028,4,1),DATE(2028,4,1)&lt;=DATE(2028,7,1))="",FALSE,AND('Editable assumptions'!B16&lt;=DATE(2028,4,1),DATE(2028,4,1)&lt;=DATE(2028,7,1))),'Monthly forecast and cash'!U29,"")</f>
      </c>
    </row>
    <row r="1014">
      <c r="A1014" t="inlineStr" s="21">
        <is>
          <t xml:space="preserve">Calculation</t>
        </is>
      </c>
      <c r="B1014">
        <f>IF(IF(AND('Editable assumptions'!B16&lt;=DATE(2028,5,1),DATE(2028,5,1)&lt;=DATE(2028,7,1))="",FALSE,AND('Editable assumptions'!B16&lt;=DATE(2028,5,1),DATE(2028,5,1)&lt;=DATE(2028,7,1))),'Monthly forecast and cash'!V29,"")</f>
      </c>
    </row>
    <row r="1015">
      <c r="A1015" t="inlineStr" s="21">
        <is>
          <t xml:space="preserve">Calculation</t>
        </is>
      </c>
      <c r="B1015">
        <f>IF(IF(AND('Editable assumptions'!B16&lt;=DATE(2028,6,1),DATE(2028,6,1)&lt;=DATE(2028,7,1))="",FALSE,AND('Editable assumptions'!B16&lt;=DATE(2028,6,1),DATE(2028,6,1)&lt;=DATE(2028,7,1))),'Monthly forecast and cash'!W29,"")</f>
      </c>
    </row>
    <row r="1016">
      <c r="A1016" t="inlineStr" s="21">
        <is>
          <t xml:space="preserve">Calculation</t>
        </is>
      </c>
      <c r="B1016">
        <f>IF(IF(AND('Editable assumptions'!B16&lt;=DATE(2028,7,1),DATE(2028,7,1)&lt;=DATE(2028,7,1))="",FALSE,AND('Editable assumptions'!B16&lt;=DATE(2028,7,1),DATE(2028,7,1)&lt;=DATE(2028,7,1))),'Monthly forecast and cash'!X29,"")</f>
      </c>
    </row>
    <row r="1017">
      <c r="A1017" t="inlineStr" s="21">
        <is>
          <t xml:space="preserve">Calculation</t>
        </is>
      </c>
      <c r="B1017">
        <f>IF(IF(AND('Editable assumptions'!B16&lt;=DATE(2028,8,1),DATE(2028,8,1)&lt;=DATE(2028,7,1))="",FALSE,AND('Editable assumptions'!B16&lt;=DATE(2028,8,1),DATE(2028,8,1)&lt;=DATE(2028,7,1))),'Monthly forecast and cash'!Y29,"")</f>
      </c>
    </row>
    <row r="1018">
      <c r="A1018" t="inlineStr" s="21">
        <is>
          <t xml:space="preserve">Calculation</t>
        </is>
      </c>
      <c r="B1018">
        <f>IF(IF(AND('Editable assumptions'!B16&lt;=DATE(2028,9,1),DATE(2028,9,1)&lt;=DATE(2028,7,1))="",FALSE,AND('Editable assumptions'!B16&lt;=DATE(2028,9,1),DATE(2028,9,1)&lt;=DATE(2028,7,1))),'Monthly forecast and cash'!Z29,"")</f>
      </c>
    </row>
    <row r="1019">
      <c r="A1019" t="inlineStr" s="21">
        <is>
          <t xml:space="preserve">Calculation</t>
        </is>
      </c>
      <c r="B1019">
        <f>IF(IF(AND('Editable assumptions'!B16&lt;=DATE(2026,1,1),DATE(2026,1,1)&lt;=DATE(2028,7,1))="",FALSE,AND('Editable assumptions'!B16&lt;=DATE(2026,1,1),DATE(2026,1,1)&lt;=DATE(2028,7,1))),'Model inputs'!D12,"")</f>
      </c>
    </row>
    <row r="1020">
      <c r="A1020" t="inlineStr" s="21">
        <is>
          <t xml:space="preserve">Calculation</t>
        </is>
      </c>
      <c r="B1020">
        <f>IF(IF(AND('Editable assumptions'!B16&lt;=DATE(2026,2,1),DATE(2026,2,1)&lt;=DATE(2028,7,1))="",FALSE,AND('Editable assumptions'!B16&lt;=DATE(2026,2,1),DATE(2026,2,1)&lt;=DATE(2028,7,1))),'Model inputs'!E12,"")</f>
      </c>
    </row>
    <row r="1021">
      <c r="A1021" t="inlineStr" s="21">
        <is>
          <t xml:space="preserve">Calculation</t>
        </is>
      </c>
      <c r="B1021">
        <f>IF(IF(AND('Editable assumptions'!B16&lt;=DATE(2026,3,1),DATE(2026,3,1)&lt;=DATE(2028,7,1))="",FALSE,AND('Editable assumptions'!B16&lt;=DATE(2026,3,1),DATE(2026,3,1)&lt;=DATE(2028,7,1))),'Model inputs'!F12,"")</f>
      </c>
    </row>
    <row r="1022">
      <c r="A1022" t="inlineStr" s="21">
        <is>
          <t xml:space="preserve">Calculation</t>
        </is>
      </c>
      <c r="B1022">
        <f>IF(IF(AND('Editable assumptions'!B16&lt;=DATE(2026,4,1),DATE(2026,4,1)&lt;=DATE(2028,7,1))="",FALSE,AND('Editable assumptions'!B16&lt;=DATE(2026,4,1),DATE(2026,4,1)&lt;=DATE(2028,7,1))),'Model inputs'!G12,"")</f>
      </c>
    </row>
    <row r="1023">
      <c r="A1023" t="inlineStr" s="21">
        <is>
          <t xml:space="preserve">Calculation</t>
        </is>
      </c>
      <c r="B1023">
        <f>IF(IF(AND('Editable assumptions'!B16&lt;=DATE(2026,5,1),DATE(2026,5,1)&lt;=DATE(2028,7,1))="",FALSE,AND('Editable assumptions'!B16&lt;=DATE(2026,5,1),DATE(2026,5,1)&lt;=DATE(2028,7,1))),'Model inputs'!H12,"")</f>
      </c>
    </row>
    <row r="1024">
      <c r="A1024" t="inlineStr" s="21">
        <is>
          <t xml:space="preserve">Calculation</t>
        </is>
      </c>
      <c r="B1024">
        <f>IF(IF(AND('Editable assumptions'!B16&lt;=DATE(2026,6,1),DATE(2026,6,1)&lt;=DATE(2028,7,1))="",FALSE,AND('Editable assumptions'!B16&lt;=DATE(2026,6,1),DATE(2026,6,1)&lt;=DATE(2028,7,1))),'Model inputs'!I12,"")</f>
      </c>
    </row>
    <row r="1025">
      <c r="A1025" t="inlineStr" s="21">
        <is>
          <t xml:space="preserve">Calculation</t>
        </is>
      </c>
      <c r="B1025">
        <f>IF(IF(AND('Editable assumptions'!B16&lt;=DATE(2026,7,1),DATE(2026,7,1)&lt;=DATE(2028,7,1))="",FALSE,AND('Editable assumptions'!B16&lt;=DATE(2026,7,1),DATE(2026,7,1)&lt;=DATE(2028,7,1))),'Model inputs'!J12,"")</f>
      </c>
    </row>
    <row r="1026">
      <c r="A1026" t="inlineStr" s="21">
        <is>
          <t xml:space="preserve">Calculation</t>
        </is>
      </c>
      <c r="B1026">
        <f>IF(IF(AND('Editable assumptions'!B16&lt;=DATE(2026,8,1),DATE(2026,8,1)&lt;=DATE(2028,7,1))="",FALSE,AND('Editable assumptions'!B16&lt;=DATE(2026,8,1),DATE(2026,8,1)&lt;=DATE(2028,7,1))),'Model inputs'!K12,"")</f>
      </c>
    </row>
    <row r="1027">
      <c r="A1027" t="inlineStr" s="21">
        <is>
          <t xml:space="preserve">Calculation</t>
        </is>
      </c>
      <c r="B1027">
        <f>IF(AND('Model inputs'!B994="",'Model inputs'!B995="",'Model inputs'!B996="",'Model inputs'!B997="",'Model inputs'!B998="",'Model inputs'!B999="",'Model inputs'!B1000="",'Model inputs'!B1001="",'Model inputs'!B1002="",'Model inputs'!B1003="",'Model inputs'!B1004="",'Model inputs'!B1005="",'Model inputs'!B1006="",'Model inputs'!B1007="",'Model inputs'!B1008="",'Model inputs'!B1009="",'Model inputs'!B1010="",'Model inputs'!B1011="",'Model inputs'!B1012="",'Model inputs'!B1013="",'Model inputs'!B1014="",'Model inputs'!B1015="",'Model inputs'!B1016="",'Model inputs'!B1017="",'Model inputs'!B1018="",'Model inputs'!B1019="",'Model inputs'!B1020="",'Model inputs'!B1021="",'Model inputs'!B1022="",'Model inputs'!B1023="",'Model inputs'!B1024="",'Model inputs'!B1025="",'Model inputs'!B1026=""),"",MIN('Model inputs'!B994,'Model inputs'!B995,'Model inputs'!B996,'Model inputs'!B997,'Model inputs'!B998,'Model inputs'!B999,'Model inputs'!B1000,'Model inputs'!B1001,'Model inputs'!B1002,'Model inputs'!B1003,'Model inputs'!B1004,'Model inputs'!B1005,'Model inputs'!B1006,'Model inputs'!B1007,'Model inputs'!B1008,'Model inputs'!B1009,'Model inputs'!B1010,'Model inputs'!B1011,'Model inputs'!B1012,'Model inputs'!B1013,'Model inputs'!B1014,'Model inputs'!B1015,'Model inputs'!B1016,'Model inputs'!B1017,'Model inputs'!B1018,'Model inputs'!B1019,'Model inputs'!B1020,'Model inputs'!B1021,'Model inputs'!B1022,'Model inputs'!B1023,'Model inputs'!B1024,'Model inputs'!B1025,'Model inputs'!B1026))</f>
      </c>
    </row>
    <row r="1028">
      <c r="A1028" t="inlineStr" s="21">
        <is>
          <t xml:space="preserve">Calculation</t>
        </is>
      </c>
      <c r="B1028">
        <f>IF(IF(AND('Editable assumptions'!B16&lt;=DATE(2026,9,1),DATE(2026,9,1)&lt;=DATE(2028,8,1))="",FALSE,AND('Editable assumptions'!B16&lt;=DATE(2026,9,1),DATE(2026,9,1)&lt;=DATE(2028,8,1))),'Monthly forecast and cash'!B29,"")</f>
      </c>
    </row>
    <row r="1029">
      <c r="A1029" t="inlineStr" s="21">
        <is>
          <t xml:space="preserve">Calculation</t>
        </is>
      </c>
      <c r="B1029">
        <f>IF(IF(AND('Editable assumptions'!B16&lt;=DATE(2026,10,1),DATE(2026,10,1)&lt;=DATE(2028,8,1))="",FALSE,AND('Editable assumptions'!B16&lt;=DATE(2026,10,1),DATE(2026,10,1)&lt;=DATE(2028,8,1))),'Monthly forecast and cash'!C29,"")</f>
      </c>
    </row>
    <row r="1030">
      <c r="A1030" t="inlineStr" s="21">
        <is>
          <t xml:space="preserve">Calculation</t>
        </is>
      </c>
      <c r="B1030">
        <f>IF(IF(AND('Editable assumptions'!B16&lt;=DATE(2026,11,1),DATE(2026,11,1)&lt;=DATE(2028,8,1))="",FALSE,AND('Editable assumptions'!B16&lt;=DATE(2026,11,1),DATE(2026,11,1)&lt;=DATE(2028,8,1))),'Monthly forecast and cash'!D29,"")</f>
      </c>
    </row>
    <row r="1031">
      <c r="A1031" t="inlineStr" s="21">
        <is>
          <t xml:space="preserve">Calculation</t>
        </is>
      </c>
      <c r="B1031">
        <f>IF(IF(AND('Editable assumptions'!B16&lt;=DATE(2026,12,1),DATE(2026,12,1)&lt;=DATE(2028,8,1))="",FALSE,AND('Editable assumptions'!B16&lt;=DATE(2026,12,1),DATE(2026,12,1)&lt;=DATE(2028,8,1))),'Monthly forecast and cash'!E29,"")</f>
      </c>
    </row>
    <row r="1032">
      <c r="A1032" t="inlineStr" s="21">
        <is>
          <t xml:space="preserve">Calculation</t>
        </is>
      </c>
      <c r="B1032">
        <f>IF(IF(AND('Editable assumptions'!B16&lt;=DATE(2027,1,1),DATE(2027,1,1)&lt;=DATE(2028,8,1))="",FALSE,AND('Editable assumptions'!B16&lt;=DATE(2027,1,1),DATE(2027,1,1)&lt;=DATE(2028,8,1))),'Monthly forecast and cash'!F29,"")</f>
      </c>
    </row>
    <row r="1033">
      <c r="A1033" t="inlineStr" s="21">
        <is>
          <t xml:space="preserve">Calculation</t>
        </is>
      </c>
      <c r="B1033">
        <f>IF(IF(AND('Editable assumptions'!B16&lt;=DATE(2027,2,1),DATE(2027,2,1)&lt;=DATE(2028,8,1))="",FALSE,AND('Editable assumptions'!B16&lt;=DATE(2027,2,1),DATE(2027,2,1)&lt;=DATE(2028,8,1))),'Monthly forecast and cash'!G29,"")</f>
      </c>
    </row>
    <row r="1034">
      <c r="A1034" t="inlineStr" s="21">
        <is>
          <t xml:space="preserve">Calculation</t>
        </is>
      </c>
      <c r="B1034">
        <f>IF(IF(AND('Editable assumptions'!B16&lt;=DATE(2027,3,1),DATE(2027,3,1)&lt;=DATE(2028,8,1))="",FALSE,AND('Editable assumptions'!B16&lt;=DATE(2027,3,1),DATE(2027,3,1)&lt;=DATE(2028,8,1))),'Monthly forecast and cash'!H29,"")</f>
      </c>
    </row>
    <row r="1035">
      <c r="A1035" t="inlineStr" s="21">
        <is>
          <t xml:space="preserve">Calculation</t>
        </is>
      </c>
      <c r="B1035">
        <f>IF(IF(AND('Editable assumptions'!B16&lt;=DATE(2027,4,1),DATE(2027,4,1)&lt;=DATE(2028,8,1))="",FALSE,AND('Editable assumptions'!B16&lt;=DATE(2027,4,1),DATE(2027,4,1)&lt;=DATE(2028,8,1))),'Monthly forecast and cash'!I29,"")</f>
      </c>
    </row>
    <row r="1036">
      <c r="A1036" t="inlineStr" s="21">
        <is>
          <t xml:space="preserve">Calculation</t>
        </is>
      </c>
      <c r="B1036">
        <f>IF(IF(AND('Editable assumptions'!B16&lt;=DATE(2027,5,1),DATE(2027,5,1)&lt;=DATE(2028,8,1))="",FALSE,AND('Editable assumptions'!B16&lt;=DATE(2027,5,1),DATE(2027,5,1)&lt;=DATE(2028,8,1))),'Monthly forecast and cash'!J29,"")</f>
      </c>
    </row>
    <row r="1037">
      <c r="A1037" t="inlineStr" s="21">
        <is>
          <t xml:space="preserve">Calculation</t>
        </is>
      </c>
      <c r="B1037">
        <f>IF(IF(AND('Editable assumptions'!B16&lt;=DATE(2027,6,1),DATE(2027,6,1)&lt;=DATE(2028,8,1))="",FALSE,AND('Editable assumptions'!B16&lt;=DATE(2027,6,1),DATE(2027,6,1)&lt;=DATE(2028,8,1))),'Monthly forecast and cash'!K29,"")</f>
      </c>
    </row>
    <row r="1038">
      <c r="A1038" t="inlineStr" s="21">
        <is>
          <t xml:space="preserve">Calculation</t>
        </is>
      </c>
      <c r="B1038">
        <f>IF(IF(AND('Editable assumptions'!B16&lt;=DATE(2027,7,1),DATE(2027,7,1)&lt;=DATE(2028,8,1))="",FALSE,AND('Editable assumptions'!B16&lt;=DATE(2027,7,1),DATE(2027,7,1)&lt;=DATE(2028,8,1))),'Monthly forecast and cash'!L29,"")</f>
      </c>
    </row>
    <row r="1039">
      <c r="A1039" t="inlineStr" s="21">
        <is>
          <t xml:space="preserve">Calculation</t>
        </is>
      </c>
      <c r="B1039">
        <f>IF(IF(AND('Editable assumptions'!B16&lt;=DATE(2027,8,1),DATE(2027,8,1)&lt;=DATE(2028,8,1))="",FALSE,AND('Editable assumptions'!B16&lt;=DATE(2027,8,1),DATE(2027,8,1)&lt;=DATE(2028,8,1))),'Monthly forecast and cash'!M29,"")</f>
      </c>
    </row>
    <row r="1040">
      <c r="A1040" t="inlineStr" s="21">
        <is>
          <t xml:space="preserve">Calculation</t>
        </is>
      </c>
      <c r="B1040">
        <f>IF(IF(AND('Editable assumptions'!B16&lt;=DATE(2027,9,1),DATE(2027,9,1)&lt;=DATE(2028,8,1))="",FALSE,AND('Editable assumptions'!B16&lt;=DATE(2027,9,1),DATE(2027,9,1)&lt;=DATE(2028,8,1))),'Monthly forecast and cash'!N29,"")</f>
      </c>
    </row>
    <row r="1041">
      <c r="A1041" t="inlineStr" s="21">
        <is>
          <t xml:space="preserve">Calculation</t>
        </is>
      </c>
      <c r="B1041">
        <f>IF(IF(AND('Editable assumptions'!B16&lt;=DATE(2027,10,1),DATE(2027,10,1)&lt;=DATE(2028,8,1))="",FALSE,AND('Editable assumptions'!B16&lt;=DATE(2027,10,1),DATE(2027,10,1)&lt;=DATE(2028,8,1))),'Monthly forecast and cash'!O29,"")</f>
      </c>
    </row>
    <row r="1042">
      <c r="A1042" t="inlineStr" s="21">
        <is>
          <t xml:space="preserve">Calculation</t>
        </is>
      </c>
      <c r="B1042">
        <f>IF(IF(AND('Editable assumptions'!B16&lt;=DATE(2027,11,1),DATE(2027,11,1)&lt;=DATE(2028,8,1))="",FALSE,AND('Editable assumptions'!B16&lt;=DATE(2027,11,1),DATE(2027,11,1)&lt;=DATE(2028,8,1))),'Monthly forecast and cash'!P29,"")</f>
      </c>
    </row>
    <row r="1043">
      <c r="A1043" t="inlineStr" s="21">
        <is>
          <t xml:space="preserve">Calculation</t>
        </is>
      </c>
      <c r="B1043">
        <f>IF(IF(AND('Editable assumptions'!B16&lt;=DATE(2027,12,1),DATE(2027,12,1)&lt;=DATE(2028,8,1))="",FALSE,AND('Editable assumptions'!B16&lt;=DATE(2027,12,1),DATE(2027,12,1)&lt;=DATE(2028,8,1))),'Monthly forecast and cash'!Q29,"")</f>
      </c>
    </row>
    <row r="1044">
      <c r="A1044" t="inlineStr" s="21">
        <is>
          <t xml:space="preserve">Calculation</t>
        </is>
      </c>
      <c r="B1044">
        <f>IF(IF(AND('Editable assumptions'!B16&lt;=DATE(2028,1,1),DATE(2028,1,1)&lt;=DATE(2028,8,1))="",FALSE,AND('Editable assumptions'!B16&lt;=DATE(2028,1,1),DATE(2028,1,1)&lt;=DATE(2028,8,1))),'Monthly forecast and cash'!R29,"")</f>
      </c>
    </row>
    <row r="1045">
      <c r="A1045" t="inlineStr" s="21">
        <is>
          <t xml:space="preserve">Calculation</t>
        </is>
      </c>
      <c r="B1045">
        <f>IF(IF(AND('Editable assumptions'!B16&lt;=DATE(2028,2,1),DATE(2028,2,1)&lt;=DATE(2028,8,1))="",FALSE,AND('Editable assumptions'!B16&lt;=DATE(2028,2,1),DATE(2028,2,1)&lt;=DATE(2028,8,1))),'Monthly forecast and cash'!S29,"")</f>
      </c>
    </row>
    <row r="1046">
      <c r="A1046" t="inlineStr" s="21">
        <is>
          <t xml:space="preserve">Calculation</t>
        </is>
      </c>
      <c r="B1046">
        <f>IF(IF(AND('Editable assumptions'!B16&lt;=DATE(2028,3,1),DATE(2028,3,1)&lt;=DATE(2028,8,1))="",FALSE,AND('Editable assumptions'!B16&lt;=DATE(2028,3,1),DATE(2028,3,1)&lt;=DATE(2028,8,1))),'Monthly forecast and cash'!T29,"")</f>
      </c>
    </row>
    <row r="1047">
      <c r="A1047" t="inlineStr" s="21">
        <is>
          <t xml:space="preserve">Calculation</t>
        </is>
      </c>
      <c r="B1047">
        <f>IF(IF(AND('Editable assumptions'!B16&lt;=DATE(2028,4,1),DATE(2028,4,1)&lt;=DATE(2028,8,1))="",FALSE,AND('Editable assumptions'!B16&lt;=DATE(2028,4,1),DATE(2028,4,1)&lt;=DATE(2028,8,1))),'Monthly forecast and cash'!U29,"")</f>
      </c>
    </row>
    <row r="1048">
      <c r="A1048" t="inlineStr" s="21">
        <is>
          <t xml:space="preserve">Calculation</t>
        </is>
      </c>
      <c r="B1048">
        <f>IF(IF(AND('Editable assumptions'!B16&lt;=DATE(2028,5,1),DATE(2028,5,1)&lt;=DATE(2028,8,1))="",FALSE,AND('Editable assumptions'!B16&lt;=DATE(2028,5,1),DATE(2028,5,1)&lt;=DATE(2028,8,1))),'Monthly forecast and cash'!V29,"")</f>
      </c>
    </row>
    <row r="1049">
      <c r="A1049" t="inlineStr" s="21">
        <is>
          <t xml:space="preserve">Calculation</t>
        </is>
      </c>
      <c r="B1049">
        <f>IF(IF(AND('Editable assumptions'!B16&lt;=DATE(2028,6,1),DATE(2028,6,1)&lt;=DATE(2028,8,1))="",FALSE,AND('Editable assumptions'!B16&lt;=DATE(2028,6,1),DATE(2028,6,1)&lt;=DATE(2028,8,1))),'Monthly forecast and cash'!W29,"")</f>
      </c>
    </row>
    <row r="1050">
      <c r="A1050" t="inlineStr" s="21">
        <is>
          <t xml:space="preserve">Calculation</t>
        </is>
      </c>
      <c r="B1050">
        <f>IF(IF(AND('Editable assumptions'!B16&lt;=DATE(2028,7,1),DATE(2028,7,1)&lt;=DATE(2028,8,1))="",FALSE,AND('Editable assumptions'!B16&lt;=DATE(2028,7,1),DATE(2028,7,1)&lt;=DATE(2028,8,1))),'Monthly forecast and cash'!X29,"")</f>
      </c>
    </row>
    <row r="1051">
      <c r="A1051" t="inlineStr" s="21">
        <is>
          <t xml:space="preserve">Calculation</t>
        </is>
      </c>
      <c r="B1051">
        <f>IF(IF(AND('Editable assumptions'!B16&lt;=DATE(2028,8,1),DATE(2028,8,1)&lt;=DATE(2028,8,1))="",FALSE,AND('Editable assumptions'!B16&lt;=DATE(2028,8,1),DATE(2028,8,1)&lt;=DATE(2028,8,1))),'Monthly forecast and cash'!Y29,"")</f>
      </c>
    </row>
    <row r="1052">
      <c r="A1052" t="inlineStr" s="21">
        <is>
          <t xml:space="preserve">Calculation</t>
        </is>
      </c>
      <c r="B1052">
        <f>IF(IF(AND('Editable assumptions'!B16&lt;=DATE(2028,9,1),DATE(2028,9,1)&lt;=DATE(2028,8,1))="",FALSE,AND('Editable assumptions'!B16&lt;=DATE(2028,9,1),DATE(2028,9,1)&lt;=DATE(2028,8,1))),'Monthly forecast and cash'!Z29,"")</f>
      </c>
    </row>
    <row r="1053">
      <c r="A1053" t="inlineStr" s="21">
        <is>
          <t xml:space="preserve">Calculation</t>
        </is>
      </c>
      <c r="B1053">
        <f>IF(IF(AND('Editable assumptions'!B16&lt;=DATE(2026,1,1),DATE(2026,1,1)&lt;=DATE(2028,8,1))="",FALSE,AND('Editable assumptions'!B16&lt;=DATE(2026,1,1),DATE(2026,1,1)&lt;=DATE(2028,8,1))),'Model inputs'!D12,"")</f>
      </c>
    </row>
    <row r="1054">
      <c r="A1054" t="inlineStr" s="21">
        <is>
          <t xml:space="preserve">Calculation</t>
        </is>
      </c>
      <c r="B1054">
        <f>IF(IF(AND('Editable assumptions'!B16&lt;=DATE(2026,2,1),DATE(2026,2,1)&lt;=DATE(2028,8,1))="",FALSE,AND('Editable assumptions'!B16&lt;=DATE(2026,2,1),DATE(2026,2,1)&lt;=DATE(2028,8,1))),'Model inputs'!E12,"")</f>
      </c>
    </row>
    <row r="1055">
      <c r="A1055" t="inlineStr" s="21">
        <is>
          <t xml:space="preserve">Calculation</t>
        </is>
      </c>
      <c r="B1055">
        <f>IF(IF(AND('Editable assumptions'!B16&lt;=DATE(2026,3,1),DATE(2026,3,1)&lt;=DATE(2028,8,1))="",FALSE,AND('Editable assumptions'!B16&lt;=DATE(2026,3,1),DATE(2026,3,1)&lt;=DATE(2028,8,1))),'Model inputs'!F12,"")</f>
      </c>
    </row>
    <row r="1056">
      <c r="A1056" t="inlineStr" s="21">
        <is>
          <t xml:space="preserve">Calculation</t>
        </is>
      </c>
      <c r="B1056">
        <f>IF(IF(AND('Editable assumptions'!B16&lt;=DATE(2026,4,1),DATE(2026,4,1)&lt;=DATE(2028,8,1))="",FALSE,AND('Editable assumptions'!B16&lt;=DATE(2026,4,1),DATE(2026,4,1)&lt;=DATE(2028,8,1))),'Model inputs'!G12,"")</f>
      </c>
    </row>
    <row r="1057">
      <c r="A1057" t="inlineStr" s="21">
        <is>
          <t xml:space="preserve">Calculation</t>
        </is>
      </c>
      <c r="B1057">
        <f>IF(IF(AND('Editable assumptions'!B16&lt;=DATE(2026,5,1),DATE(2026,5,1)&lt;=DATE(2028,8,1))="",FALSE,AND('Editable assumptions'!B16&lt;=DATE(2026,5,1),DATE(2026,5,1)&lt;=DATE(2028,8,1))),'Model inputs'!H12,"")</f>
      </c>
    </row>
    <row r="1058">
      <c r="A1058" t="inlineStr" s="21">
        <is>
          <t xml:space="preserve">Calculation</t>
        </is>
      </c>
      <c r="B1058">
        <f>IF(IF(AND('Editable assumptions'!B16&lt;=DATE(2026,6,1),DATE(2026,6,1)&lt;=DATE(2028,8,1))="",FALSE,AND('Editable assumptions'!B16&lt;=DATE(2026,6,1),DATE(2026,6,1)&lt;=DATE(2028,8,1))),'Model inputs'!I12,"")</f>
      </c>
    </row>
    <row r="1059">
      <c r="A1059" t="inlineStr" s="21">
        <is>
          <t xml:space="preserve">Calculation</t>
        </is>
      </c>
      <c r="B1059">
        <f>IF(IF(AND('Editable assumptions'!B16&lt;=DATE(2026,7,1),DATE(2026,7,1)&lt;=DATE(2028,8,1))="",FALSE,AND('Editable assumptions'!B16&lt;=DATE(2026,7,1),DATE(2026,7,1)&lt;=DATE(2028,8,1))),'Model inputs'!J12,"")</f>
      </c>
    </row>
    <row r="1060">
      <c r="A1060" t="inlineStr" s="21">
        <is>
          <t xml:space="preserve">Calculation</t>
        </is>
      </c>
      <c r="B1060">
        <f>IF(IF(AND('Editable assumptions'!B16&lt;=DATE(2026,8,1),DATE(2026,8,1)&lt;=DATE(2028,8,1))="",FALSE,AND('Editable assumptions'!B16&lt;=DATE(2026,8,1),DATE(2026,8,1)&lt;=DATE(2028,8,1))),'Model inputs'!K12,"")</f>
      </c>
    </row>
    <row r="1061">
      <c r="A1061" t="inlineStr" s="21">
        <is>
          <t xml:space="preserve">Calculation</t>
        </is>
      </c>
      <c r="B1061">
        <f>IF(AND('Model inputs'!B1028="",'Model inputs'!B1029="",'Model inputs'!B1030="",'Model inputs'!B1031="",'Model inputs'!B1032="",'Model inputs'!B1033="",'Model inputs'!B1034="",'Model inputs'!B1035="",'Model inputs'!B1036="",'Model inputs'!B1037="",'Model inputs'!B1038="",'Model inputs'!B1039="",'Model inputs'!B1040="",'Model inputs'!B1041="",'Model inputs'!B1042="",'Model inputs'!B1043="",'Model inputs'!B1044="",'Model inputs'!B1045="",'Model inputs'!B1046="",'Model inputs'!B1047="",'Model inputs'!B1048="",'Model inputs'!B1049="",'Model inputs'!B1050="",'Model inputs'!B1051="",'Model inputs'!B1052="",'Model inputs'!B1053="",'Model inputs'!B1054="",'Model inputs'!B1055="",'Model inputs'!B1056="",'Model inputs'!B1057="",'Model inputs'!B1058="",'Model inputs'!B1059="",'Model inputs'!B1060=""),"",MIN('Model inputs'!B1028,'Model inputs'!B1029,'Model inputs'!B1030,'Model inputs'!B1031,'Model inputs'!B1032,'Model inputs'!B1033,'Model inputs'!B1034,'Model inputs'!B1035,'Model inputs'!B1036,'Model inputs'!B1037,'Model inputs'!B1038,'Model inputs'!B1039,'Model inputs'!B1040,'Model inputs'!B1041,'Model inputs'!B1042,'Model inputs'!B1043,'Model inputs'!B1044,'Model inputs'!B1045,'Model inputs'!B1046,'Model inputs'!B1047,'Model inputs'!B1048,'Model inputs'!B1049,'Model inputs'!B1050,'Model inputs'!B1051,'Model inputs'!B1052,'Model inputs'!B1053,'Model inputs'!B1054,'Model inputs'!B1055,'Model inputs'!B1056,'Model inputs'!B1057,'Model inputs'!B1058,'Model inputs'!B1059,'Model inputs'!B1060))</f>
      </c>
    </row>
    <row r="1062">
      <c r="A1062" t="inlineStr" s="21">
        <is>
          <t xml:space="preserve">Calculation</t>
        </is>
      </c>
      <c r="B1062">
        <f>IF(IF(AND('Editable assumptions'!B16&lt;=DATE(2026,9,1),DATE(2026,9,1)&lt;=DATE(2028,9,1))="",FALSE,AND('Editable assumptions'!B16&lt;=DATE(2026,9,1),DATE(2026,9,1)&lt;=DATE(2028,9,1))),'Monthly forecast and cash'!B29,"")</f>
      </c>
    </row>
    <row r="1063">
      <c r="A1063" t="inlineStr" s="21">
        <is>
          <t xml:space="preserve">Calculation</t>
        </is>
      </c>
      <c r="B1063">
        <f>IF(IF(AND('Editable assumptions'!B16&lt;=DATE(2026,10,1),DATE(2026,10,1)&lt;=DATE(2028,9,1))="",FALSE,AND('Editable assumptions'!B16&lt;=DATE(2026,10,1),DATE(2026,10,1)&lt;=DATE(2028,9,1))),'Monthly forecast and cash'!C29,"")</f>
      </c>
    </row>
    <row r="1064">
      <c r="A1064" t="inlineStr" s="21">
        <is>
          <t xml:space="preserve">Calculation</t>
        </is>
      </c>
      <c r="B1064">
        <f>IF(IF(AND('Editable assumptions'!B16&lt;=DATE(2026,11,1),DATE(2026,11,1)&lt;=DATE(2028,9,1))="",FALSE,AND('Editable assumptions'!B16&lt;=DATE(2026,11,1),DATE(2026,11,1)&lt;=DATE(2028,9,1))),'Monthly forecast and cash'!D29,"")</f>
      </c>
    </row>
    <row r="1065">
      <c r="A1065" t="inlineStr" s="21">
        <is>
          <t xml:space="preserve">Calculation</t>
        </is>
      </c>
      <c r="B1065">
        <f>IF(IF(AND('Editable assumptions'!B16&lt;=DATE(2026,12,1),DATE(2026,12,1)&lt;=DATE(2028,9,1))="",FALSE,AND('Editable assumptions'!B16&lt;=DATE(2026,12,1),DATE(2026,12,1)&lt;=DATE(2028,9,1))),'Monthly forecast and cash'!E29,"")</f>
      </c>
    </row>
    <row r="1066">
      <c r="A1066" t="inlineStr" s="21">
        <is>
          <t xml:space="preserve">Calculation</t>
        </is>
      </c>
      <c r="B1066">
        <f>IF(IF(AND('Editable assumptions'!B16&lt;=DATE(2027,1,1),DATE(2027,1,1)&lt;=DATE(2028,9,1))="",FALSE,AND('Editable assumptions'!B16&lt;=DATE(2027,1,1),DATE(2027,1,1)&lt;=DATE(2028,9,1))),'Monthly forecast and cash'!F29,"")</f>
      </c>
    </row>
    <row r="1067">
      <c r="A1067" t="inlineStr" s="21">
        <is>
          <t xml:space="preserve">Calculation</t>
        </is>
      </c>
      <c r="B1067">
        <f>IF(IF(AND('Editable assumptions'!B16&lt;=DATE(2027,2,1),DATE(2027,2,1)&lt;=DATE(2028,9,1))="",FALSE,AND('Editable assumptions'!B16&lt;=DATE(2027,2,1),DATE(2027,2,1)&lt;=DATE(2028,9,1))),'Monthly forecast and cash'!G29,"")</f>
      </c>
    </row>
    <row r="1068">
      <c r="A1068" t="inlineStr" s="21">
        <is>
          <t xml:space="preserve">Calculation</t>
        </is>
      </c>
      <c r="B1068">
        <f>IF(IF(AND('Editable assumptions'!B16&lt;=DATE(2027,3,1),DATE(2027,3,1)&lt;=DATE(2028,9,1))="",FALSE,AND('Editable assumptions'!B16&lt;=DATE(2027,3,1),DATE(2027,3,1)&lt;=DATE(2028,9,1))),'Monthly forecast and cash'!H29,"")</f>
      </c>
    </row>
    <row r="1069">
      <c r="A1069" t="inlineStr" s="21">
        <is>
          <t xml:space="preserve">Calculation</t>
        </is>
      </c>
      <c r="B1069">
        <f>IF(IF(AND('Editable assumptions'!B16&lt;=DATE(2027,4,1),DATE(2027,4,1)&lt;=DATE(2028,9,1))="",FALSE,AND('Editable assumptions'!B16&lt;=DATE(2027,4,1),DATE(2027,4,1)&lt;=DATE(2028,9,1))),'Monthly forecast and cash'!I29,"")</f>
      </c>
    </row>
    <row r="1070">
      <c r="A1070" t="inlineStr" s="21">
        <is>
          <t xml:space="preserve">Calculation</t>
        </is>
      </c>
      <c r="B1070">
        <f>IF(IF(AND('Editable assumptions'!B16&lt;=DATE(2027,5,1),DATE(2027,5,1)&lt;=DATE(2028,9,1))="",FALSE,AND('Editable assumptions'!B16&lt;=DATE(2027,5,1),DATE(2027,5,1)&lt;=DATE(2028,9,1))),'Monthly forecast and cash'!J29,"")</f>
      </c>
    </row>
    <row r="1071">
      <c r="A1071" t="inlineStr" s="21">
        <is>
          <t xml:space="preserve">Calculation</t>
        </is>
      </c>
      <c r="B1071">
        <f>IF(IF(AND('Editable assumptions'!B16&lt;=DATE(2027,6,1),DATE(2027,6,1)&lt;=DATE(2028,9,1))="",FALSE,AND('Editable assumptions'!B16&lt;=DATE(2027,6,1),DATE(2027,6,1)&lt;=DATE(2028,9,1))),'Monthly forecast and cash'!K29,"")</f>
      </c>
    </row>
    <row r="1072">
      <c r="A1072" t="inlineStr" s="21">
        <is>
          <t xml:space="preserve">Calculation</t>
        </is>
      </c>
      <c r="B1072">
        <f>IF(IF(AND('Editable assumptions'!B16&lt;=DATE(2027,7,1),DATE(2027,7,1)&lt;=DATE(2028,9,1))="",FALSE,AND('Editable assumptions'!B16&lt;=DATE(2027,7,1),DATE(2027,7,1)&lt;=DATE(2028,9,1))),'Monthly forecast and cash'!L29,"")</f>
      </c>
    </row>
    <row r="1073">
      <c r="A1073" t="inlineStr" s="21">
        <is>
          <t xml:space="preserve">Calculation</t>
        </is>
      </c>
      <c r="B1073">
        <f>IF(IF(AND('Editable assumptions'!B16&lt;=DATE(2027,8,1),DATE(2027,8,1)&lt;=DATE(2028,9,1))="",FALSE,AND('Editable assumptions'!B16&lt;=DATE(2027,8,1),DATE(2027,8,1)&lt;=DATE(2028,9,1))),'Monthly forecast and cash'!M29,"")</f>
      </c>
    </row>
    <row r="1074">
      <c r="A1074" t="inlineStr" s="21">
        <is>
          <t xml:space="preserve">Calculation</t>
        </is>
      </c>
      <c r="B1074">
        <f>IF(IF(AND('Editable assumptions'!B16&lt;=DATE(2027,9,1),DATE(2027,9,1)&lt;=DATE(2028,9,1))="",FALSE,AND('Editable assumptions'!B16&lt;=DATE(2027,9,1),DATE(2027,9,1)&lt;=DATE(2028,9,1))),'Monthly forecast and cash'!N29,"")</f>
      </c>
    </row>
    <row r="1075">
      <c r="A1075" t="inlineStr" s="21">
        <is>
          <t xml:space="preserve">Calculation</t>
        </is>
      </c>
      <c r="B1075">
        <f>IF(IF(AND('Editable assumptions'!B16&lt;=DATE(2027,10,1),DATE(2027,10,1)&lt;=DATE(2028,9,1))="",FALSE,AND('Editable assumptions'!B16&lt;=DATE(2027,10,1),DATE(2027,10,1)&lt;=DATE(2028,9,1))),'Monthly forecast and cash'!O29,"")</f>
      </c>
    </row>
    <row r="1076">
      <c r="A1076" t="inlineStr" s="21">
        <is>
          <t xml:space="preserve">Calculation</t>
        </is>
      </c>
      <c r="B1076">
        <f>IF(IF(AND('Editable assumptions'!B16&lt;=DATE(2027,11,1),DATE(2027,11,1)&lt;=DATE(2028,9,1))="",FALSE,AND('Editable assumptions'!B16&lt;=DATE(2027,11,1),DATE(2027,11,1)&lt;=DATE(2028,9,1))),'Monthly forecast and cash'!P29,"")</f>
      </c>
    </row>
    <row r="1077">
      <c r="A1077" t="inlineStr" s="21">
        <is>
          <t xml:space="preserve">Calculation</t>
        </is>
      </c>
      <c r="B1077">
        <f>IF(IF(AND('Editable assumptions'!B16&lt;=DATE(2027,12,1),DATE(2027,12,1)&lt;=DATE(2028,9,1))="",FALSE,AND('Editable assumptions'!B16&lt;=DATE(2027,12,1),DATE(2027,12,1)&lt;=DATE(2028,9,1))),'Monthly forecast and cash'!Q29,"")</f>
      </c>
    </row>
    <row r="1078">
      <c r="A1078" t="inlineStr" s="21">
        <is>
          <t xml:space="preserve">Calculation</t>
        </is>
      </c>
      <c r="B1078">
        <f>IF(IF(AND('Editable assumptions'!B16&lt;=DATE(2028,1,1),DATE(2028,1,1)&lt;=DATE(2028,9,1))="",FALSE,AND('Editable assumptions'!B16&lt;=DATE(2028,1,1),DATE(2028,1,1)&lt;=DATE(2028,9,1))),'Monthly forecast and cash'!R29,"")</f>
      </c>
    </row>
    <row r="1079">
      <c r="A1079" t="inlineStr" s="21">
        <is>
          <t xml:space="preserve">Calculation</t>
        </is>
      </c>
      <c r="B1079">
        <f>IF(IF(AND('Editable assumptions'!B16&lt;=DATE(2028,2,1),DATE(2028,2,1)&lt;=DATE(2028,9,1))="",FALSE,AND('Editable assumptions'!B16&lt;=DATE(2028,2,1),DATE(2028,2,1)&lt;=DATE(2028,9,1))),'Monthly forecast and cash'!S29,"")</f>
      </c>
    </row>
    <row r="1080">
      <c r="A1080" t="inlineStr" s="21">
        <is>
          <t xml:space="preserve">Calculation</t>
        </is>
      </c>
      <c r="B1080">
        <f>IF(IF(AND('Editable assumptions'!B16&lt;=DATE(2028,3,1),DATE(2028,3,1)&lt;=DATE(2028,9,1))="",FALSE,AND('Editable assumptions'!B16&lt;=DATE(2028,3,1),DATE(2028,3,1)&lt;=DATE(2028,9,1))),'Monthly forecast and cash'!T29,"")</f>
      </c>
    </row>
    <row r="1081">
      <c r="A1081" t="inlineStr" s="21">
        <is>
          <t xml:space="preserve">Calculation</t>
        </is>
      </c>
      <c r="B1081">
        <f>IF(IF(AND('Editable assumptions'!B16&lt;=DATE(2028,4,1),DATE(2028,4,1)&lt;=DATE(2028,9,1))="",FALSE,AND('Editable assumptions'!B16&lt;=DATE(2028,4,1),DATE(2028,4,1)&lt;=DATE(2028,9,1))),'Monthly forecast and cash'!U29,"")</f>
      </c>
    </row>
    <row r="1082">
      <c r="A1082" t="inlineStr" s="21">
        <is>
          <t xml:space="preserve">Calculation</t>
        </is>
      </c>
      <c r="B1082">
        <f>IF(IF(AND('Editable assumptions'!B16&lt;=DATE(2028,5,1),DATE(2028,5,1)&lt;=DATE(2028,9,1))="",FALSE,AND('Editable assumptions'!B16&lt;=DATE(2028,5,1),DATE(2028,5,1)&lt;=DATE(2028,9,1))),'Monthly forecast and cash'!V29,"")</f>
      </c>
    </row>
    <row r="1083">
      <c r="A1083" t="inlineStr" s="21">
        <is>
          <t xml:space="preserve">Calculation</t>
        </is>
      </c>
      <c r="B1083">
        <f>IF(IF(AND('Editable assumptions'!B16&lt;=DATE(2028,6,1),DATE(2028,6,1)&lt;=DATE(2028,9,1))="",FALSE,AND('Editable assumptions'!B16&lt;=DATE(2028,6,1),DATE(2028,6,1)&lt;=DATE(2028,9,1))),'Monthly forecast and cash'!W29,"")</f>
      </c>
    </row>
    <row r="1084">
      <c r="A1084" t="inlineStr" s="21">
        <is>
          <t xml:space="preserve">Calculation</t>
        </is>
      </c>
      <c r="B1084">
        <f>IF(IF(AND('Editable assumptions'!B16&lt;=DATE(2028,7,1),DATE(2028,7,1)&lt;=DATE(2028,9,1))="",FALSE,AND('Editable assumptions'!B16&lt;=DATE(2028,7,1),DATE(2028,7,1)&lt;=DATE(2028,9,1))),'Monthly forecast and cash'!X29,"")</f>
      </c>
    </row>
    <row r="1085">
      <c r="A1085" t="inlineStr" s="21">
        <is>
          <t xml:space="preserve">Calculation</t>
        </is>
      </c>
      <c r="B1085">
        <f>IF(IF(AND('Editable assumptions'!B16&lt;=DATE(2028,8,1),DATE(2028,8,1)&lt;=DATE(2028,9,1))="",FALSE,AND('Editable assumptions'!B16&lt;=DATE(2028,8,1),DATE(2028,8,1)&lt;=DATE(2028,9,1))),'Monthly forecast and cash'!Y29,"")</f>
      </c>
    </row>
    <row r="1086">
      <c r="A1086" t="inlineStr" s="21">
        <is>
          <t xml:space="preserve">Calculation</t>
        </is>
      </c>
      <c r="B1086">
        <f>IF(IF(AND('Editable assumptions'!B16&lt;=DATE(2028,9,1),DATE(2028,9,1)&lt;=DATE(2028,9,1))="",FALSE,AND('Editable assumptions'!B16&lt;=DATE(2028,9,1),DATE(2028,9,1)&lt;=DATE(2028,9,1))),'Monthly forecast and cash'!Z29,"")</f>
      </c>
    </row>
    <row r="1087">
      <c r="A1087" t="inlineStr" s="21">
        <is>
          <t xml:space="preserve">Calculation</t>
        </is>
      </c>
      <c r="B1087">
        <f>IF(IF(AND('Editable assumptions'!B16&lt;=DATE(2026,1,1),DATE(2026,1,1)&lt;=DATE(2028,9,1))="",FALSE,AND('Editable assumptions'!B16&lt;=DATE(2026,1,1),DATE(2026,1,1)&lt;=DATE(2028,9,1))),'Model inputs'!D12,"")</f>
      </c>
    </row>
    <row r="1088">
      <c r="A1088" t="inlineStr" s="21">
        <is>
          <t xml:space="preserve">Calculation</t>
        </is>
      </c>
      <c r="B1088">
        <f>IF(IF(AND('Editable assumptions'!B16&lt;=DATE(2026,2,1),DATE(2026,2,1)&lt;=DATE(2028,9,1))="",FALSE,AND('Editable assumptions'!B16&lt;=DATE(2026,2,1),DATE(2026,2,1)&lt;=DATE(2028,9,1))),'Model inputs'!E12,"")</f>
      </c>
    </row>
    <row r="1089">
      <c r="A1089" t="inlineStr" s="21">
        <is>
          <t xml:space="preserve">Calculation</t>
        </is>
      </c>
      <c r="B1089">
        <f>IF(IF(AND('Editable assumptions'!B16&lt;=DATE(2026,3,1),DATE(2026,3,1)&lt;=DATE(2028,9,1))="",FALSE,AND('Editable assumptions'!B16&lt;=DATE(2026,3,1),DATE(2026,3,1)&lt;=DATE(2028,9,1))),'Model inputs'!F12,"")</f>
      </c>
    </row>
    <row r="1090">
      <c r="A1090" t="inlineStr" s="21">
        <is>
          <t xml:space="preserve">Calculation</t>
        </is>
      </c>
      <c r="B1090">
        <f>IF(IF(AND('Editable assumptions'!B16&lt;=DATE(2026,4,1),DATE(2026,4,1)&lt;=DATE(2028,9,1))="",FALSE,AND('Editable assumptions'!B16&lt;=DATE(2026,4,1),DATE(2026,4,1)&lt;=DATE(2028,9,1))),'Model inputs'!G12,"")</f>
      </c>
    </row>
    <row r="1091">
      <c r="A1091" t="inlineStr" s="21">
        <is>
          <t xml:space="preserve">Calculation</t>
        </is>
      </c>
      <c r="B1091">
        <f>IF(IF(AND('Editable assumptions'!B16&lt;=DATE(2026,5,1),DATE(2026,5,1)&lt;=DATE(2028,9,1))="",FALSE,AND('Editable assumptions'!B16&lt;=DATE(2026,5,1),DATE(2026,5,1)&lt;=DATE(2028,9,1))),'Model inputs'!H12,"")</f>
      </c>
    </row>
    <row r="1092">
      <c r="A1092" t="inlineStr" s="21">
        <is>
          <t xml:space="preserve">Calculation</t>
        </is>
      </c>
      <c r="B1092">
        <f>IF(IF(AND('Editable assumptions'!B16&lt;=DATE(2026,6,1),DATE(2026,6,1)&lt;=DATE(2028,9,1))="",FALSE,AND('Editable assumptions'!B16&lt;=DATE(2026,6,1),DATE(2026,6,1)&lt;=DATE(2028,9,1))),'Model inputs'!I12,"")</f>
      </c>
    </row>
    <row r="1093">
      <c r="A1093" t="inlineStr" s="21">
        <is>
          <t xml:space="preserve">Calculation</t>
        </is>
      </c>
      <c r="B1093">
        <f>IF(IF(AND('Editable assumptions'!B16&lt;=DATE(2026,7,1),DATE(2026,7,1)&lt;=DATE(2028,9,1))="",FALSE,AND('Editable assumptions'!B16&lt;=DATE(2026,7,1),DATE(2026,7,1)&lt;=DATE(2028,9,1))),'Model inputs'!J12,"")</f>
      </c>
    </row>
    <row r="1094">
      <c r="A1094" t="inlineStr" s="21">
        <is>
          <t xml:space="preserve">Calculation</t>
        </is>
      </c>
      <c r="B1094">
        <f>IF(IF(AND('Editable assumptions'!B16&lt;=DATE(2026,8,1),DATE(2026,8,1)&lt;=DATE(2028,9,1))="",FALSE,AND('Editable assumptions'!B16&lt;=DATE(2026,8,1),DATE(2026,8,1)&lt;=DATE(2028,9,1))),'Model inputs'!K12,"")</f>
      </c>
    </row>
    <row r="1095">
      <c r="A1095" t="inlineStr" s="21">
        <is>
          <t xml:space="preserve">Calculation</t>
        </is>
      </c>
      <c r="B1095">
        <f>IF(AND('Model inputs'!B1062="",'Model inputs'!B1063="",'Model inputs'!B1064="",'Model inputs'!B1065="",'Model inputs'!B1066="",'Model inputs'!B1067="",'Model inputs'!B1068="",'Model inputs'!B1069="",'Model inputs'!B1070="",'Model inputs'!B1071="",'Model inputs'!B1072="",'Model inputs'!B1073="",'Model inputs'!B1074="",'Model inputs'!B1075="",'Model inputs'!B1076="",'Model inputs'!B1077="",'Model inputs'!B1078="",'Model inputs'!B1079="",'Model inputs'!B1080="",'Model inputs'!B1081="",'Model inputs'!B1082="",'Model inputs'!B1083="",'Model inputs'!B1084="",'Model inputs'!B1085="",'Model inputs'!B1086="",'Model inputs'!B1087="",'Model inputs'!B1088="",'Model inputs'!B1089="",'Model inputs'!B1090="",'Model inputs'!B1091="",'Model inputs'!B1092="",'Model inputs'!B1093="",'Model inputs'!B1094=""),"",MIN('Model inputs'!B1062,'Model inputs'!B1063,'Model inputs'!B1064,'Model inputs'!B1065,'Model inputs'!B1066,'Model inputs'!B1067,'Model inputs'!B1068,'Model inputs'!B1069,'Model inputs'!B1070,'Model inputs'!B1071,'Model inputs'!B1072,'Model inputs'!B1073,'Model inputs'!B1074,'Model inputs'!B1075,'Model inputs'!B1076,'Model inputs'!B1077,'Model inputs'!B1078,'Model inputs'!B1079,'Model inputs'!B1080,'Model inputs'!B1081,'Model inputs'!B1082,'Model inputs'!B1083,'Model inputs'!B1084,'Model inputs'!B1085,'Model inputs'!B1086,'Model inputs'!B1087,'Model inputs'!B1088,'Model inputs'!B1089,'Model inputs'!B1090,'Model inputs'!B1091,'Model inputs'!B1092,'Model inputs'!B1093,'Model inputs'!B1094))</f>
      </c>
    </row>
    <row r="1096">
      <c r="A1096" t="inlineStr" s="21">
        <is>
          <t xml:space="preserve">Calculation</t>
        </is>
      </c>
      <c r="B1096">
        <f>AND('Editable assumptions'!B16&lt;=DATE(2026,10,1),DATE(2026,10,1)&lt;=EDATE('Editable assumptions'!B16,'Editable assumptions'!B15-1*1))</f>
      </c>
    </row>
    <row r="1097">
      <c r="A1097" t="inlineStr" s="21">
        <is>
          <t xml:space="preserve">Calculation</t>
        </is>
      </c>
      <c r="B1097">
        <f>AND('Editable assumptions'!B16&lt;=DATE(2026,11,1),DATE(2026,11,1)&lt;=EDATE('Editable assumptions'!B16,'Editable assumptions'!B15-1*1))</f>
      </c>
    </row>
    <row r="1098">
      <c r="A1098" t="inlineStr" s="21">
        <is>
          <t xml:space="preserve">Calculation</t>
        </is>
      </c>
      <c r="B1098">
        <f>AND('Editable assumptions'!B16&lt;=DATE(2026,12,1),DATE(2026,12,1)&lt;=EDATE('Editable assumptions'!B16,'Editable assumptions'!B15-1*1))</f>
      </c>
    </row>
    <row r="1099">
      <c r="A1099" t="inlineStr" s="21">
        <is>
          <t xml:space="preserve">Calculation</t>
        </is>
      </c>
      <c r="B1099">
        <f>AND('Editable assumptions'!B16&lt;=DATE(2027,10,1),DATE(2027,10,1)&lt;=EDATE('Editable assumptions'!B16,'Editable assumptions'!B15-1*1))</f>
      </c>
    </row>
    <row r="1100">
      <c r="A1100" t="inlineStr" s="21">
        <is>
          <t xml:space="preserve">Calculation</t>
        </is>
      </c>
      <c r="B1100">
        <f>AND('Editable assumptions'!B16&lt;=DATE(2027,11,1),DATE(2027,11,1)&lt;=EDATE('Editable assumptions'!B16,'Editable assumptions'!B15-1*1))</f>
      </c>
    </row>
    <row r="1101">
      <c r="A1101" t="inlineStr" s="21">
        <is>
          <t xml:space="preserve">Calculation</t>
        </is>
      </c>
      <c r="B1101">
        <f>AND('Editable assumptions'!B16&lt;=DATE(2027,12,1),DATE(2027,12,1)&lt;=EDATE('Editable assumptions'!B16,'Editable assumptions'!B15-1*1))</f>
      </c>
    </row>
    <row r="1102">
      <c r="A1102" t="inlineStr" s="21">
        <is>
          <t xml:space="preserve">Calculation</t>
        </is>
      </c>
      <c r="B1102" s="12">
        <f>SUM(IF(IF(IF(AND('Editable assumptions'!B16&lt;=DATE(2026,9,1),DATE(2026,9,1)&lt;=EDATE('Editable assumptions'!B16,'Editable assumptions'!B15-1*1))="",FALSE,AND('Editable assumptions'!B16&lt;=DATE(2026,9,1),DATE(2026,9,1)&lt;=EDATE('Editable assumptions'!B16,'Editable assumptions'!B15-1*1))),'Monthly forecast and cash'!B33,"")="",0,IF(IF(AND('Editable assumptions'!B16&lt;=DATE(2026,9,1),DATE(2026,9,1)&lt;=EDATE('Editable assumptions'!B16,'Editable assumptions'!B15-1*1))="",FALSE,AND('Editable assumptions'!B16&lt;=DATE(2026,9,1),DATE(2026,9,1)&lt;=EDATE('Editable assumptions'!B16,'Editable assumptions'!B15-1*1))),'Monthly forecast and cash'!B33,"")),IF(IF(IF('Model inputs'!B1096="",FALSE,'Model inputs'!B1096),'Monthly forecast and cash'!C33,"")="",0,IF(IF('Model inputs'!B1096="",FALSE,'Model inputs'!B1096),'Monthly forecast and cash'!C33,"")),IF(IF(IF('Model inputs'!B1097="",FALSE,'Model inputs'!B1097),'Monthly forecast and cash'!D33,"")="",0,IF(IF('Model inputs'!B1097="",FALSE,'Model inputs'!B1097),'Monthly forecast and cash'!D33,"")),IF(IF(IF('Model inputs'!B1098="",FALSE,'Model inputs'!B1098),'Monthly forecast and cash'!E33,"")="",0,IF(IF('Model inputs'!B1098="",FALSE,'Model inputs'!B1098),'Monthly forecast and cash'!E33,"")),IF(IF(IF(AND('Editable assumptions'!B16&lt;=DATE(2027,1,1),DATE(2027,1,1)&lt;=EDATE('Editable assumptions'!B16,'Editable assumptions'!B15-1*1))="",FALSE,AND('Editable assumptions'!B16&lt;=DATE(2027,1,1),DATE(2027,1,1)&lt;=EDATE('Editable assumptions'!B16,'Editable assumptions'!B15-1*1))),'Monthly forecast and cash'!F33,"")="",0,IF(IF(AND('Editable assumptions'!B16&lt;=DATE(2027,1,1),DATE(2027,1,1)&lt;=EDATE('Editable assumptions'!B16,'Editable assumptions'!B15-1*1))="",FALSE,AND('Editable assumptions'!B16&lt;=DATE(2027,1,1),DATE(2027,1,1)&lt;=EDATE('Editable assumptions'!B16,'Editable assumptions'!B15-1*1))),'Monthly forecast and cash'!F33,"")),IF(IF(IF(AND('Editable assumptions'!B16&lt;=DATE(2027,2,1),DATE(2027,2,1)&lt;=EDATE('Editable assumptions'!B16,'Editable assumptions'!B15-1*1))="",FALSE,AND('Editable assumptions'!B16&lt;=DATE(2027,2,1),DATE(2027,2,1)&lt;=EDATE('Editable assumptions'!B16,'Editable assumptions'!B15-1*1))),'Monthly forecast and cash'!G33,"")="",0,IF(IF(AND('Editable assumptions'!B16&lt;=DATE(2027,2,1),DATE(2027,2,1)&lt;=EDATE('Editable assumptions'!B16,'Editable assumptions'!B15-1*1))="",FALSE,AND('Editable assumptions'!B16&lt;=DATE(2027,2,1),DATE(2027,2,1)&lt;=EDATE('Editable assumptions'!B16,'Editable assumptions'!B15-1*1))),'Monthly forecast and cash'!G33,"")),IF(IF(IF(AND('Editable assumptions'!B16&lt;=DATE(2027,3,1),DATE(2027,3,1)&lt;=EDATE('Editable assumptions'!B16,'Editable assumptions'!B15-1*1))="",FALSE,AND('Editable assumptions'!B16&lt;=DATE(2027,3,1),DATE(2027,3,1)&lt;=EDATE('Editable assumptions'!B16,'Editable assumptions'!B15-1*1))),'Monthly forecast and cash'!H33,"")="",0,IF(IF(AND('Editable assumptions'!B16&lt;=DATE(2027,3,1),DATE(2027,3,1)&lt;=EDATE('Editable assumptions'!B16,'Editable assumptions'!B15-1*1))="",FALSE,AND('Editable assumptions'!B16&lt;=DATE(2027,3,1),DATE(2027,3,1)&lt;=EDATE('Editable assumptions'!B16,'Editable assumptions'!B15-1*1))),'Monthly forecast and cash'!H33,"")),IF(IF(IF(AND('Editable assumptions'!B16&lt;=DATE(2027,4,1),DATE(2027,4,1)&lt;=EDATE('Editable assumptions'!B16,'Editable assumptions'!B15-1*1))="",FALSE,AND('Editable assumptions'!B16&lt;=DATE(2027,4,1),DATE(2027,4,1)&lt;=EDATE('Editable assumptions'!B16,'Editable assumptions'!B15-1*1))),'Monthly forecast and cash'!I33,"")="",0,IF(IF(AND('Editable assumptions'!B16&lt;=DATE(2027,4,1),DATE(2027,4,1)&lt;=EDATE('Editable assumptions'!B16,'Editable assumptions'!B15-1*1))="",FALSE,AND('Editable assumptions'!B16&lt;=DATE(2027,4,1),DATE(2027,4,1)&lt;=EDATE('Editable assumptions'!B16,'Editable assumptions'!B15-1*1))),'Monthly forecast and cash'!I33,"")),IF(IF(IF(AND('Editable assumptions'!B16&lt;=DATE(2027,5,1),DATE(2027,5,1)&lt;=EDATE('Editable assumptions'!B16,'Editable assumptions'!B15-1*1))="",FALSE,AND('Editable assumptions'!B16&lt;=DATE(2027,5,1),DATE(2027,5,1)&lt;=EDATE('Editable assumptions'!B16,'Editable assumptions'!B15-1*1))),'Monthly forecast and cash'!J33,"")="",0,IF(IF(AND('Editable assumptions'!B16&lt;=DATE(2027,5,1),DATE(2027,5,1)&lt;=EDATE('Editable assumptions'!B16,'Editable assumptions'!B15-1*1))="",FALSE,AND('Editable assumptions'!B16&lt;=DATE(2027,5,1),DATE(2027,5,1)&lt;=EDATE('Editable assumptions'!B16,'Editable assumptions'!B15-1*1))),'Monthly forecast and cash'!J33,"")),IF(IF(IF(AND('Editable assumptions'!B16&lt;=DATE(2027,6,1),DATE(2027,6,1)&lt;=EDATE('Editable assumptions'!B16,'Editable assumptions'!B15-1*1))="",FALSE,AND('Editable assumptions'!B16&lt;=DATE(2027,6,1),DATE(2027,6,1)&lt;=EDATE('Editable assumptions'!B16,'Editable assumptions'!B15-1*1))),'Monthly forecast and cash'!K33,"")="",0,IF(IF(AND('Editable assumptions'!B16&lt;=DATE(2027,6,1),DATE(2027,6,1)&lt;=EDATE('Editable assumptions'!B16,'Editable assumptions'!B15-1*1))="",FALSE,AND('Editable assumptions'!B16&lt;=DATE(2027,6,1),DATE(2027,6,1)&lt;=EDATE('Editable assumptions'!B16,'Editable assumptions'!B15-1*1))),'Monthly forecast and cash'!K33,"")),IF(IF(IF(AND('Editable assumptions'!B16&lt;=DATE(2027,7,1),DATE(2027,7,1)&lt;=EDATE('Editable assumptions'!B16,'Editable assumptions'!B15-1*1))="",FALSE,AND('Editable assumptions'!B16&lt;=DATE(2027,7,1),DATE(2027,7,1)&lt;=EDATE('Editable assumptions'!B16,'Editable assumptions'!B15-1*1))),'Monthly forecast and cash'!L33,"")="",0,IF(IF(AND('Editable assumptions'!B16&lt;=DATE(2027,7,1),DATE(2027,7,1)&lt;=EDATE('Editable assumptions'!B16,'Editable assumptions'!B15-1*1))="",FALSE,AND('Editable assumptions'!B16&lt;=DATE(2027,7,1),DATE(2027,7,1)&lt;=EDATE('Editable assumptions'!B16,'Editable assumptions'!B15-1*1))),'Monthly forecast and cash'!L33,"")),IF(IF(IF(AND('Editable assumptions'!B16&lt;=DATE(2027,8,1),DATE(2027,8,1)&lt;=EDATE('Editable assumptions'!B16,'Editable assumptions'!B15-1*1))="",FALSE,AND('Editable assumptions'!B16&lt;=DATE(2027,8,1),DATE(2027,8,1)&lt;=EDATE('Editable assumptions'!B16,'Editable assumptions'!B15-1*1))),'Monthly forecast and cash'!M33,"")="",0,IF(IF(AND('Editable assumptions'!B16&lt;=DATE(2027,8,1),DATE(2027,8,1)&lt;=EDATE('Editable assumptions'!B16,'Editable assumptions'!B15-1*1))="",FALSE,AND('Editable assumptions'!B16&lt;=DATE(2027,8,1),DATE(2027,8,1)&lt;=EDATE('Editable assumptions'!B16,'Editable assumptions'!B15-1*1))),'Monthly forecast and cash'!M33,"")),IF(IF(IF(AND('Editable assumptions'!B16&lt;=DATE(2027,9,1),DATE(2027,9,1)&lt;=EDATE('Editable assumptions'!B16,'Editable assumptions'!B15-1*1))="",FALSE,AND('Editable assumptions'!B16&lt;=DATE(2027,9,1),DATE(2027,9,1)&lt;=EDATE('Editable assumptions'!B16,'Editable assumptions'!B15-1*1))),'Monthly forecast and cash'!N33,"")="",0,IF(IF(AND('Editable assumptions'!B16&lt;=DATE(2027,9,1),DATE(2027,9,1)&lt;=EDATE('Editable assumptions'!B16,'Editable assumptions'!B15-1*1))="",FALSE,AND('Editable assumptions'!B16&lt;=DATE(2027,9,1),DATE(2027,9,1)&lt;=EDATE('Editable assumptions'!B16,'Editable assumptions'!B15-1*1))),'Monthly forecast and cash'!N33,"")),IF(IF(IF('Model inputs'!B1099="",FALSE,'Model inputs'!B1099),'Monthly forecast and cash'!O33,"")="",0,IF(IF('Model inputs'!B1099="",FALSE,'Model inputs'!B1099),'Monthly forecast and cash'!O33,"")),IF(IF(IF('Model inputs'!B1100="",FALSE,'Model inputs'!B1100),'Monthly forecast and cash'!P33,"")="",0,IF(IF('Model inputs'!B1100="",FALSE,'Model inputs'!B1100),'Monthly forecast and cash'!P33,"")),IF(IF(IF('Model inputs'!B1101="",FALSE,'Model inputs'!B1101),'Monthly forecast and cash'!Q33,"")="",0,IF(IF('Model inputs'!B1101="",FALSE,'Model inputs'!B1101),'Monthly forecast and cash'!Q33,"")),IF(IF(IF(AND('Editable assumptions'!B16&lt;=DATE(2028,1,1),DATE(2028,1,1)&lt;=EDATE('Editable assumptions'!B16,'Editable assumptions'!B15-1*1))="",FALSE,AND('Editable assumptions'!B16&lt;=DATE(2028,1,1),DATE(2028,1,1)&lt;=EDATE('Editable assumptions'!B16,'Editable assumptions'!B15-1*1))),'Monthly forecast and cash'!R33,"")="",0,IF(IF(AND('Editable assumptions'!B16&lt;=DATE(2028,1,1),DATE(2028,1,1)&lt;=EDATE('Editable assumptions'!B16,'Editable assumptions'!B15-1*1))="",FALSE,AND('Editable assumptions'!B16&lt;=DATE(2028,1,1),DATE(2028,1,1)&lt;=EDATE('Editable assumptions'!B16,'Editable assumptions'!B15-1*1))),'Monthly forecast and cash'!R33,"")))</f>
      </c>
    </row>
    <row r="1103">
      <c r="A1103" t="inlineStr" s="21">
        <is>
          <t xml:space="preserve">Calculation</t>
        </is>
      </c>
      <c r="B1103" s="12">
        <f>SUM(IF(IF(IF(AND('Editable assumptions'!B16&lt;=DATE(2028,2,1),DATE(2028,2,1)&lt;=EDATE('Editable assumptions'!B16,'Editable assumptions'!B15-1*1))="",FALSE,AND('Editable assumptions'!B16&lt;=DATE(2028,2,1),DATE(2028,2,1)&lt;=EDATE('Editable assumptions'!B16,'Editable assumptions'!B15-1*1))),'Monthly forecast and cash'!S33,"")="",0,IF(IF(AND('Editable assumptions'!B16&lt;=DATE(2028,2,1),DATE(2028,2,1)&lt;=EDATE('Editable assumptions'!B16,'Editable assumptions'!B15-1*1))="",FALSE,AND('Editable assumptions'!B16&lt;=DATE(2028,2,1),DATE(2028,2,1)&lt;=EDATE('Editable assumptions'!B16,'Editable assumptions'!B15-1*1))),'Monthly forecast and cash'!S33,"")),IF(IF(IF(AND('Editable assumptions'!B16&lt;=DATE(2028,3,1),DATE(2028,3,1)&lt;=EDATE('Editable assumptions'!B16,'Editable assumptions'!B15-1*1))="",FALSE,AND('Editable assumptions'!B16&lt;=DATE(2028,3,1),DATE(2028,3,1)&lt;=EDATE('Editable assumptions'!B16,'Editable assumptions'!B15-1*1))),'Monthly forecast and cash'!T33,"")="",0,IF(IF(AND('Editable assumptions'!B16&lt;=DATE(2028,3,1),DATE(2028,3,1)&lt;=EDATE('Editable assumptions'!B16,'Editable assumptions'!B15-1*1))="",FALSE,AND('Editable assumptions'!B16&lt;=DATE(2028,3,1),DATE(2028,3,1)&lt;=EDATE('Editable assumptions'!B16,'Editable assumptions'!B15-1*1))),'Monthly forecast and cash'!T33,"")),IF(IF(IF(AND('Editable assumptions'!B16&lt;=DATE(2028,4,1),DATE(2028,4,1)&lt;=EDATE('Editable assumptions'!B16,'Editable assumptions'!B15-1*1))="",FALSE,AND('Editable assumptions'!B16&lt;=DATE(2028,4,1),DATE(2028,4,1)&lt;=EDATE('Editable assumptions'!B16,'Editable assumptions'!B15-1*1))),'Monthly forecast and cash'!U33,"")="",0,IF(IF(AND('Editable assumptions'!B16&lt;=DATE(2028,4,1),DATE(2028,4,1)&lt;=EDATE('Editable assumptions'!B16,'Editable assumptions'!B15-1*1))="",FALSE,AND('Editable assumptions'!B16&lt;=DATE(2028,4,1),DATE(2028,4,1)&lt;=EDATE('Editable assumptions'!B16,'Editable assumptions'!B15-1*1))),'Monthly forecast and cash'!U33,"")),IF(IF(IF(AND('Editable assumptions'!B16&lt;=DATE(2028,5,1),DATE(2028,5,1)&lt;=EDATE('Editable assumptions'!B16,'Editable assumptions'!B15-1*1))="",FALSE,AND('Editable assumptions'!B16&lt;=DATE(2028,5,1),DATE(2028,5,1)&lt;=EDATE('Editable assumptions'!B16,'Editable assumptions'!B15-1*1))),'Monthly forecast and cash'!V33,"")="",0,IF(IF(AND('Editable assumptions'!B16&lt;=DATE(2028,5,1),DATE(2028,5,1)&lt;=EDATE('Editable assumptions'!B16,'Editable assumptions'!B15-1*1))="",FALSE,AND('Editable assumptions'!B16&lt;=DATE(2028,5,1),DATE(2028,5,1)&lt;=EDATE('Editable assumptions'!B16,'Editable assumptions'!B15-1*1))),'Monthly forecast and cash'!V33,"")),IF(IF(IF(AND('Editable assumptions'!B16&lt;=DATE(2028,6,1),DATE(2028,6,1)&lt;=EDATE('Editable assumptions'!B16,'Editable assumptions'!B15-1*1))="",FALSE,AND('Editable assumptions'!B16&lt;=DATE(2028,6,1),DATE(2028,6,1)&lt;=EDATE('Editable assumptions'!B16,'Editable assumptions'!B15-1*1))),'Monthly forecast and cash'!W33,"")="",0,IF(IF(AND('Editable assumptions'!B16&lt;=DATE(2028,6,1),DATE(2028,6,1)&lt;=EDATE('Editable assumptions'!B16,'Editable assumptions'!B15-1*1))="",FALSE,AND('Editable assumptions'!B16&lt;=DATE(2028,6,1),DATE(2028,6,1)&lt;=EDATE('Editable assumptions'!B16,'Editable assumptions'!B15-1*1))),'Monthly forecast and cash'!W33,"")),IF(IF(IF(AND('Editable assumptions'!B16&lt;=DATE(2028,7,1),DATE(2028,7,1)&lt;=EDATE('Editable assumptions'!B16,'Editable assumptions'!B15-1*1))="",FALSE,AND('Editable assumptions'!B16&lt;=DATE(2028,7,1),DATE(2028,7,1)&lt;=EDATE('Editable assumptions'!B16,'Editable assumptions'!B15-1*1))),'Monthly forecast and cash'!X33,"")="",0,IF(IF(AND('Editable assumptions'!B16&lt;=DATE(2028,7,1),DATE(2028,7,1)&lt;=EDATE('Editable assumptions'!B16,'Editable assumptions'!B15-1*1))="",FALSE,AND('Editable assumptions'!B16&lt;=DATE(2028,7,1),DATE(2028,7,1)&lt;=EDATE('Editable assumptions'!B16,'Editable assumptions'!B15-1*1))),'Monthly forecast and cash'!X33,"")),IF(IF(IF(AND('Editable assumptions'!B16&lt;=DATE(2028,8,1),DATE(2028,8,1)&lt;=EDATE('Editable assumptions'!B16,'Editable assumptions'!B15-1*1))="",FALSE,AND('Editable assumptions'!B16&lt;=DATE(2028,8,1),DATE(2028,8,1)&lt;=EDATE('Editable assumptions'!B16,'Editable assumptions'!B15-1*1))),'Monthly forecast and cash'!Y33,"")="",0,IF(IF(AND('Editable assumptions'!B16&lt;=DATE(2028,8,1),DATE(2028,8,1)&lt;=EDATE('Editable assumptions'!B16,'Editable assumptions'!B15-1*1))="",FALSE,AND('Editable assumptions'!B16&lt;=DATE(2028,8,1),DATE(2028,8,1)&lt;=EDATE('Editable assumptions'!B16,'Editable assumptions'!B15-1*1))),'Monthly forecast and cash'!Y33,"")),IF(IF(IF(AND('Editable assumptions'!B16&lt;=DATE(2028,9,1),DATE(2028,9,1)&lt;=EDATE('Editable assumptions'!B16,'Editable assumptions'!B15-1*1))="",FALSE,AND('Editable assumptions'!B16&lt;=DATE(2028,9,1),DATE(2028,9,1)&lt;=EDATE('Editable assumptions'!B16,'Editable assumptions'!B15-1*1))),'Monthly forecast and cash'!Z33,"")="",0,IF(IF(AND('Editable assumptions'!B16&lt;=DATE(2028,9,1),DATE(2028,9,1)&lt;=EDATE('Editable assumptions'!B16,'Editable assumptions'!B15-1*1))="",FALSE,AND('Editable assumptions'!B16&lt;=DATE(2028,9,1),DATE(2028,9,1)&lt;=EDATE('Editable assumptions'!B16,'Editable assumptions'!B15-1*1))),'Monthly forecast and cash'!Z33,"")),IF(IF(IF(AND('Editable assumptions'!B16&lt;=DATE(2026,1,1),DATE(2026,1,1)&lt;=EDATE('Editable assumptions'!B16,'Editable assumptions'!B15-1*1))="",FALSE,AND('Editable assumptions'!B16&lt;=DATE(2026,1,1),DATE(2026,1,1)&lt;=EDATE('Editable assumptions'!B16,'Editable assumptions'!B15-1*1))),'Model inputs'!D46,"")="",0,IF(IF(AND('Editable assumptions'!B16&lt;=DATE(2026,1,1),DATE(2026,1,1)&lt;=EDATE('Editable assumptions'!B16,'Editable assumptions'!B15-1*1))="",FALSE,AND('Editable assumptions'!B16&lt;=DATE(2026,1,1),DATE(2026,1,1)&lt;=EDATE('Editable assumptions'!B16,'Editable assumptions'!B15-1*1))),'Model inputs'!D46,"")),IF(IF(IF(AND('Editable assumptions'!B16&lt;=DATE(2026,2,1),DATE(2026,2,1)&lt;=EDATE('Editable assumptions'!B16,'Editable assumptions'!B15-1*1))="",FALSE,AND('Editable assumptions'!B16&lt;=DATE(2026,2,1),DATE(2026,2,1)&lt;=EDATE('Editable assumptions'!B16,'Editable assumptions'!B15-1*1))),'Model inputs'!E46,"")="",0,IF(IF(AND('Editable assumptions'!B16&lt;=DATE(2026,2,1),DATE(2026,2,1)&lt;=EDATE('Editable assumptions'!B16,'Editable assumptions'!B15-1*1))="",FALSE,AND('Editable assumptions'!B16&lt;=DATE(2026,2,1),DATE(2026,2,1)&lt;=EDATE('Editable assumptions'!B16,'Editable assumptions'!B15-1*1))),'Model inputs'!E46,"")),IF(IF(IF(AND('Editable assumptions'!B16&lt;=DATE(2026,3,1),DATE(2026,3,1)&lt;=EDATE('Editable assumptions'!B16,'Editable assumptions'!B15-1*1))="",FALSE,AND('Editable assumptions'!B16&lt;=DATE(2026,3,1),DATE(2026,3,1)&lt;=EDATE('Editable assumptions'!B16,'Editable assumptions'!B15-1*1))),'Model inputs'!F46,"")="",0,IF(IF(AND('Editable assumptions'!B16&lt;=DATE(2026,3,1),DATE(2026,3,1)&lt;=EDATE('Editable assumptions'!B16,'Editable assumptions'!B15-1*1))="",FALSE,AND('Editable assumptions'!B16&lt;=DATE(2026,3,1),DATE(2026,3,1)&lt;=EDATE('Editable assumptions'!B16,'Editable assumptions'!B15-1*1))),'Model inputs'!F46,"")),IF(IF(IF(AND('Editable assumptions'!B16&lt;=DATE(2026,4,1),DATE(2026,4,1)&lt;=EDATE('Editable assumptions'!B16,'Editable assumptions'!B15-1*1))="",FALSE,AND('Editable assumptions'!B16&lt;=DATE(2026,4,1),DATE(2026,4,1)&lt;=EDATE('Editable assumptions'!B16,'Editable assumptions'!B15-1*1))),'Model inputs'!G46,"")="",0,IF(IF(AND('Editable assumptions'!B16&lt;=DATE(2026,4,1),DATE(2026,4,1)&lt;=EDATE('Editable assumptions'!B16,'Editable assumptions'!B15-1*1))="",FALSE,AND('Editable assumptions'!B16&lt;=DATE(2026,4,1),DATE(2026,4,1)&lt;=EDATE('Editable assumptions'!B16,'Editable assumptions'!B15-1*1))),'Model inputs'!G46,"")),IF(IF(IF(AND('Editable assumptions'!B16&lt;=DATE(2026,5,1),DATE(2026,5,1)&lt;=EDATE('Editable assumptions'!B16,'Editable assumptions'!B15-1*1))="",FALSE,AND('Editable assumptions'!B16&lt;=DATE(2026,5,1),DATE(2026,5,1)&lt;=EDATE('Editable assumptions'!B16,'Editable assumptions'!B15-1*1))),'Model inputs'!H46,"")="",0,IF(IF(AND('Editable assumptions'!B16&lt;=DATE(2026,5,1),DATE(2026,5,1)&lt;=EDATE('Editable assumptions'!B16,'Editable assumptions'!B15-1*1))="",FALSE,AND('Editable assumptions'!B16&lt;=DATE(2026,5,1),DATE(2026,5,1)&lt;=EDATE('Editable assumptions'!B16,'Editable assumptions'!B15-1*1))),'Model inputs'!H46,"")))</f>
      </c>
    </row>
    <row r="1104">
      <c r="A1104" t="inlineStr" s="21">
        <is>
          <t xml:space="preserve">Calculation</t>
        </is>
      </c>
      <c r="B1104" s="12">
        <f>SUM(IF(IF(IF(AND('Editable assumptions'!B16&lt;=DATE(2026,6,1),DATE(2026,6,1)&lt;=EDATE('Editable assumptions'!B16,'Editable assumptions'!B15-1*1))="",FALSE,AND('Editable assumptions'!B16&lt;=DATE(2026,6,1),DATE(2026,6,1)&lt;=EDATE('Editable assumptions'!B16,'Editable assumptions'!B15-1*1))),'Model inputs'!I46,"")="",0,IF(IF(AND('Editable assumptions'!B16&lt;=DATE(2026,6,1),DATE(2026,6,1)&lt;=EDATE('Editable assumptions'!B16,'Editable assumptions'!B15-1*1))="",FALSE,AND('Editable assumptions'!B16&lt;=DATE(2026,6,1),DATE(2026,6,1)&lt;=EDATE('Editable assumptions'!B16,'Editable assumptions'!B15-1*1))),'Model inputs'!I46,"")),IF(IF(IF(AND('Editable assumptions'!B16&lt;=DATE(2026,7,1),DATE(2026,7,1)&lt;=EDATE('Editable assumptions'!B16,'Editable assumptions'!B15-1*1))="",FALSE,AND('Editable assumptions'!B16&lt;=DATE(2026,7,1),DATE(2026,7,1)&lt;=EDATE('Editable assumptions'!B16,'Editable assumptions'!B15-1*1))),'Model inputs'!J46,"")="",0,IF(IF(AND('Editable assumptions'!B16&lt;=DATE(2026,7,1),DATE(2026,7,1)&lt;=EDATE('Editable assumptions'!B16,'Editable assumptions'!B15-1*1))="",FALSE,AND('Editable assumptions'!B16&lt;=DATE(2026,7,1),DATE(2026,7,1)&lt;=EDATE('Editable assumptions'!B16,'Editable assumptions'!B15-1*1))),'Model inputs'!J46,"")),IF(IF(IF(AND('Editable assumptions'!B16&lt;=DATE(2026,8,1),DATE(2026,8,1)&lt;=EDATE('Editable assumptions'!B16,'Editable assumptions'!B15-1*1))="",FALSE,AND('Editable assumptions'!B16&lt;=DATE(2026,8,1),DATE(2026,8,1)&lt;=EDATE('Editable assumptions'!B16,'Editable assumptions'!B15-1*1))),'Model inputs'!K46,"")="",0,IF(IF(AND('Editable assumptions'!B16&lt;=DATE(2026,8,1),DATE(2026,8,1)&lt;=EDATE('Editable assumptions'!B16,'Editable assumptions'!B15-1*1))="",FALSE,AND('Editable assumptions'!B16&lt;=DATE(2026,8,1),DATE(2026,8,1)&lt;=EDATE('Editable assumptions'!B16,'Editable assumptions'!B15-1*1))),'Model inputs'!K46,"")))</f>
      </c>
    </row>
    <row r="1105">
      <c r="A1105" t="inlineStr" s="21">
        <is>
          <t xml:space="preserve">Calculation</t>
        </is>
      </c>
      <c r="B1105">
        <f>IF(IF(DATE(2026,9,1)=EDATE('Editable assumptions'!B16,'Editable assumptions'!B15-1*1)="",FALSE,DATE(2026,9,1)=EDATE('Editable assumptions'!B16,'Editable assumptions'!B15-1*1)),IF('Monthly forecast and cash'!B29="","",'Monthly forecast and cash'!B29),"")</f>
      </c>
    </row>
    <row r="1106">
      <c r="A1106" t="inlineStr" s="21">
        <is>
          <t xml:space="preserve">Calculation</t>
        </is>
      </c>
      <c r="B1106">
        <f>IF(IF(DATE(2026,10,1)=EDATE('Editable assumptions'!B16,'Editable assumptions'!B15-1*1)="",FALSE,DATE(2026,10,1)=EDATE('Editable assumptions'!B16,'Editable assumptions'!B15-1*1)),IF('Monthly forecast and cash'!C29="","",'Monthly forecast and cash'!C29),"")</f>
      </c>
    </row>
    <row r="1107">
      <c r="A1107" t="inlineStr" s="21">
        <is>
          <t xml:space="preserve">Calculation</t>
        </is>
      </c>
      <c r="B1107">
        <f>IF(IF(DATE(2026,11,1)=EDATE('Editable assumptions'!B16,'Editable assumptions'!B15-1*1)="",FALSE,DATE(2026,11,1)=EDATE('Editable assumptions'!B16,'Editable assumptions'!B15-1*1)),IF('Monthly forecast and cash'!D29="","",'Monthly forecast and cash'!D29),"")</f>
      </c>
    </row>
    <row r="1108">
      <c r="A1108" t="inlineStr" s="21">
        <is>
          <t xml:space="preserve">Calculation</t>
        </is>
      </c>
      <c r="B1108">
        <f>IF(IF(DATE(2026,12,1)=EDATE('Editable assumptions'!B16,'Editable assumptions'!B15-1*1)="",FALSE,DATE(2026,12,1)=EDATE('Editable assumptions'!B16,'Editable assumptions'!B15-1*1)),IF('Monthly forecast and cash'!E29="","",'Monthly forecast and cash'!E29),"")</f>
      </c>
    </row>
    <row r="1109">
      <c r="A1109" t="inlineStr" s="21">
        <is>
          <t xml:space="preserve">Calculation</t>
        </is>
      </c>
      <c r="B1109">
        <f>IF(IF(DATE(2027,1,1)=EDATE('Editable assumptions'!B16,'Editable assumptions'!B15-1*1)="",FALSE,DATE(2027,1,1)=EDATE('Editable assumptions'!B16,'Editable assumptions'!B15-1*1)),IF('Monthly forecast and cash'!F29="","",'Monthly forecast and cash'!F29),"")</f>
      </c>
    </row>
    <row r="1110">
      <c r="A1110" t="inlineStr" s="21">
        <is>
          <t xml:space="preserve">Calculation</t>
        </is>
      </c>
      <c r="B1110">
        <f>IF(IF(DATE(2027,2,1)=EDATE('Editable assumptions'!B16,'Editable assumptions'!B15-1*1)="",FALSE,DATE(2027,2,1)=EDATE('Editable assumptions'!B16,'Editable assumptions'!B15-1*1)),IF('Monthly forecast and cash'!G29="","",'Monthly forecast and cash'!G29),"")</f>
      </c>
    </row>
    <row r="1111">
      <c r="A1111" t="inlineStr" s="21">
        <is>
          <t xml:space="preserve">Calculation</t>
        </is>
      </c>
      <c r="B1111">
        <f>IF(IF(DATE(2027,3,1)=EDATE('Editable assumptions'!B16,'Editable assumptions'!B15-1*1)="",FALSE,DATE(2027,3,1)=EDATE('Editable assumptions'!B16,'Editable assumptions'!B15-1*1)),IF('Monthly forecast and cash'!H29="","",'Monthly forecast and cash'!H29),"")</f>
      </c>
    </row>
    <row r="1112">
      <c r="A1112" t="inlineStr" s="21">
        <is>
          <t xml:space="preserve">Calculation</t>
        </is>
      </c>
      <c r="B1112">
        <f>IF(IF(DATE(2027,4,1)=EDATE('Editable assumptions'!B16,'Editable assumptions'!B15-1*1)="",FALSE,DATE(2027,4,1)=EDATE('Editable assumptions'!B16,'Editable assumptions'!B15-1*1)),IF('Monthly forecast and cash'!I29="","",'Monthly forecast and cash'!I29),"")</f>
      </c>
    </row>
    <row r="1113">
      <c r="A1113" t="inlineStr" s="21">
        <is>
          <t xml:space="preserve">Calculation</t>
        </is>
      </c>
      <c r="B1113">
        <f>IF(IF(DATE(2027,5,1)=EDATE('Editable assumptions'!B16,'Editable assumptions'!B15-1*1)="",FALSE,DATE(2027,5,1)=EDATE('Editable assumptions'!B16,'Editable assumptions'!B15-1*1)),IF('Monthly forecast and cash'!J29="","",'Monthly forecast and cash'!J29),"")</f>
      </c>
    </row>
    <row r="1114">
      <c r="A1114" t="inlineStr" s="21">
        <is>
          <t xml:space="preserve">Calculation</t>
        </is>
      </c>
      <c r="B1114">
        <f>IF(IF(DATE(2027,6,1)=EDATE('Editable assumptions'!B16,'Editable assumptions'!B15-1*1)="",FALSE,DATE(2027,6,1)=EDATE('Editable assumptions'!B16,'Editable assumptions'!B15-1*1)),IF('Monthly forecast and cash'!K29="","",'Monthly forecast and cash'!K29),"")</f>
      </c>
    </row>
    <row r="1115">
      <c r="A1115" t="inlineStr" s="21">
        <is>
          <t xml:space="preserve">Calculation</t>
        </is>
      </c>
      <c r="B1115">
        <f>IF(IF(DATE(2027,7,1)=EDATE('Editable assumptions'!B16,'Editable assumptions'!B15-1*1)="",FALSE,DATE(2027,7,1)=EDATE('Editable assumptions'!B16,'Editable assumptions'!B15-1*1)),IF('Monthly forecast and cash'!L29="","",'Monthly forecast and cash'!L29),"")</f>
      </c>
    </row>
    <row r="1116">
      <c r="A1116" t="inlineStr" s="21">
        <is>
          <t xml:space="preserve">Calculation</t>
        </is>
      </c>
      <c r="B1116">
        <f>IF(IF(DATE(2027,8,1)=EDATE('Editable assumptions'!B16,'Editable assumptions'!B15-1*1)="",FALSE,DATE(2027,8,1)=EDATE('Editable assumptions'!B16,'Editable assumptions'!B15-1*1)),IF('Monthly forecast and cash'!M29="","",'Monthly forecast and cash'!M29),"")</f>
      </c>
    </row>
    <row r="1117">
      <c r="A1117" t="inlineStr" s="21">
        <is>
          <t xml:space="preserve">Calculation</t>
        </is>
      </c>
      <c r="B1117">
        <f>IF(IF(DATE(2027,9,1)=EDATE('Editable assumptions'!B16,'Editable assumptions'!B15-1*1)="",FALSE,DATE(2027,9,1)=EDATE('Editable assumptions'!B16,'Editable assumptions'!B15-1*1)),IF('Monthly forecast and cash'!N29="","",'Monthly forecast and cash'!N29),"")</f>
      </c>
    </row>
    <row r="1118">
      <c r="A1118" t="inlineStr" s="21">
        <is>
          <t xml:space="preserve">Calculation</t>
        </is>
      </c>
      <c r="B1118">
        <f>IF(IF(DATE(2027,10,1)=EDATE('Editable assumptions'!B16,'Editable assumptions'!B15-1*1)="",FALSE,DATE(2027,10,1)=EDATE('Editable assumptions'!B16,'Editable assumptions'!B15-1*1)),IF('Monthly forecast and cash'!O29="","",'Monthly forecast and cash'!O29),"")</f>
      </c>
    </row>
    <row r="1119">
      <c r="A1119" t="inlineStr" s="21">
        <is>
          <t xml:space="preserve">Calculation</t>
        </is>
      </c>
      <c r="B1119">
        <f>IF(IF(DATE(2027,11,1)=EDATE('Editable assumptions'!B16,'Editable assumptions'!B15-1*1)="",FALSE,DATE(2027,11,1)=EDATE('Editable assumptions'!B16,'Editable assumptions'!B15-1*1)),IF('Monthly forecast and cash'!P29="","",'Monthly forecast and cash'!P29),"")</f>
      </c>
    </row>
    <row r="1120">
      <c r="A1120" t="inlineStr" s="21">
        <is>
          <t xml:space="preserve">Calculation</t>
        </is>
      </c>
      <c r="B1120">
        <f>IF(IF(DATE(2027,12,1)=EDATE('Editable assumptions'!B16,'Editable assumptions'!B15-1*1)="",FALSE,DATE(2027,12,1)=EDATE('Editable assumptions'!B16,'Editable assumptions'!B15-1*1)),IF('Monthly forecast and cash'!Q29="","",'Monthly forecast and cash'!Q29),"")</f>
      </c>
    </row>
    <row r="1121">
      <c r="A1121" t="inlineStr" s="21">
        <is>
          <t xml:space="preserve">Calculation</t>
        </is>
      </c>
      <c r="B1121">
        <f>IF(IF(DATE(2028,1,1)=EDATE('Editable assumptions'!B16,'Editable assumptions'!B15-1*1)="",FALSE,DATE(2028,1,1)=EDATE('Editable assumptions'!B16,'Editable assumptions'!B15-1*1)),IF('Monthly forecast and cash'!R29="","",'Monthly forecast and cash'!R29),"")</f>
      </c>
    </row>
    <row r="1122">
      <c r="A1122" t="inlineStr" s="21">
        <is>
          <t xml:space="preserve">Calculation</t>
        </is>
      </c>
      <c r="B1122">
        <f>IF(IF(DATE(2028,2,1)=EDATE('Editable assumptions'!B16,'Editable assumptions'!B15-1*1)="",FALSE,DATE(2028,2,1)=EDATE('Editable assumptions'!B16,'Editable assumptions'!B15-1*1)),IF('Monthly forecast and cash'!S29="","",'Monthly forecast and cash'!S29),"")</f>
      </c>
    </row>
    <row r="1123">
      <c r="A1123" t="inlineStr" s="21">
        <is>
          <t xml:space="preserve">Calculation</t>
        </is>
      </c>
      <c r="B1123">
        <f>IF(IF(DATE(2028,3,1)=EDATE('Editable assumptions'!B16,'Editable assumptions'!B15-1*1)="",FALSE,DATE(2028,3,1)=EDATE('Editable assumptions'!B16,'Editable assumptions'!B15-1*1)),IF('Monthly forecast and cash'!T29="","",'Monthly forecast and cash'!T29),"")</f>
      </c>
    </row>
    <row r="1124">
      <c r="A1124" t="inlineStr" s="21">
        <is>
          <t xml:space="preserve">Calculation</t>
        </is>
      </c>
      <c r="B1124">
        <f>IF(IF(DATE(2028,4,1)=EDATE('Editable assumptions'!B16,'Editable assumptions'!B15-1*1)="",FALSE,DATE(2028,4,1)=EDATE('Editable assumptions'!B16,'Editable assumptions'!B15-1*1)),IF('Monthly forecast and cash'!U29="","",'Monthly forecast and cash'!U29),"")</f>
      </c>
    </row>
    <row r="1125">
      <c r="A1125" t="inlineStr" s="21">
        <is>
          <t xml:space="preserve">Calculation</t>
        </is>
      </c>
      <c r="B1125">
        <f>IF(IF(DATE(2028,5,1)=EDATE('Editable assumptions'!B16,'Editable assumptions'!B15-1*1)="",FALSE,DATE(2028,5,1)=EDATE('Editable assumptions'!B16,'Editable assumptions'!B15-1*1)),IF('Monthly forecast and cash'!V29="","",'Monthly forecast and cash'!V29),"")</f>
      </c>
    </row>
    <row r="1126">
      <c r="A1126" t="inlineStr" s="21">
        <is>
          <t xml:space="preserve">Calculation</t>
        </is>
      </c>
      <c r="B1126">
        <f>IF(IF(DATE(2028,6,1)=EDATE('Editable assumptions'!B16,'Editable assumptions'!B15-1*1)="",FALSE,DATE(2028,6,1)=EDATE('Editable assumptions'!B16,'Editable assumptions'!B15-1*1)),IF('Monthly forecast and cash'!W29="","",'Monthly forecast and cash'!W29),"")</f>
      </c>
    </row>
    <row r="1127">
      <c r="A1127" t="inlineStr" s="21">
        <is>
          <t xml:space="preserve">Calculation</t>
        </is>
      </c>
      <c r="B1127">
        <f>IF(IF(DATE(2028,7,1)=EDATE('Editable assumptions'!B16,'Editable assumptions'!B15-1*1)="",FALSE,DATE(2028,7,1)=EDATE('Editable assumptions'!B16,'Editable assumptions'!B15-1*1)),IF('Monthly forecast and cash'!X29="","",'Monthly forecast and cash'!X29),"")</f>
      </c>
    </row>
    <row r="1128">
      <c r="A1128" t="inlineStr" s="21">
        <is>
          <t xml:space="preserve">Calculation</t>
        </is>
      </c>
      <c r="B1128">
        <f>IF(IF(DATE(2028,8,1)=EDATE('Editable assumptions'!B16,'Editable assumptions'!B15-1*1)="",FALSE,DATE(2028,8,1)=EDATE('Editable assumptions'!B16,'Editable assumptions'!B15-1*1)),IF('Monthly forecast and cash'!Y29="","",'Monthly forecast and cash'!Y29),"")</f>
      </c>
    </row>
    <row r="1129">
      <c r="A1129" t="inlineStr" s="21">
        <is>
          <t xml:space="preserve">Calculation</t>
        </is>
      </c>
      <c r="B1129">
        <f>IF(IF(DATE(2028,9,1)=EDATE('Editable assumptions'!B16,'Editable assumptions'!B15-1*1)="",FALSE,DATE(2028,9,1)=EDATE('Editable assumptions'!B16,'Editable assumptions'!B15-1*1)),IF('Monthly forecast and cash'!Z29="","",'Monthly forecast and cash'!Z29),"")</f>
      </c>
    </row>
    <row r="1130">
      <c r="A1130" t="inlineStr" s="21">
        <is>
          <t xml:space="preserve">Calculation</t>
        </is>
      </c>
      <c r="B1130">
        <f>IF(IF(DATE(2026,1,1)=EDATE('Editable assumptions'!B16,'Editable assumptions'!B15-1*1)="",FALSE,DATE(2026,1,1)=EDATE('Editable assumptions'!B16,'Editable assumptions'!B15-1*1)),IF('Model inputs'!D12="","",'Model inputs'!D12),"")</f>
      </c>
    </row>
    <row r="1131">
      <c r="A1131" t="inlineStr" s="21">
        <is>
          <t xml:space="preserve">Calculation</t>
        </is>
      </c>
      <c r="B1131">
        <f>IF(IF(DATE(2026,2,1)=EDATE('Editable assumptions'!B16,'Editable assumptions'!B15-1*1)="",FALSE,DATE(2026,2,1)=EDATE('Editable assumptions'!B16,'Editable assumptions'!B15-1*1)),IF('Model inputs'!E12="","",'Model inputs'!E12),"")</f>
      </c>
    </row>
    <row r="1132">
      <c r="A1132" t="inlineStr" s="21">
        <is>
          <t xml:space="preserve">Calculation</t>
        </is>
      </c>
      <c r="B1132">
        <f>IF(IF(DATE(2026,3,1)=EDATE('Editable assumptions'!B16,'Editable assumptions'!B15-1*1)="",FALSE,DATE(2026,3,1)=EDATE('Editable assumptions'!B16,'Editable assumptions'!B15-1*1)),IF('Model inputs'!F12="","",'Model inputs'!F12),"")</f>
      </c>
    </row>
    <row r="1133">
      <c r="A1133" t="inlineStr" s="21">
        <is>
          <t xml:space="preserve">Calculation</t>
        </is>
      </c>
      <c r="B1133">
        <f>IF(IF(DATE(2026,4,1)=EDATE('Editable assumptions'!B16,'Editable assumptions'!B15-1*1)="",FALSE,DATE(2026,4,1)=EDATE('Editable assumptions'!B16,'Editable assumptions'!B15-1*1)),IF('Model inputs'!G12="","",'Model inputs'!G12),"")</f>
      </c>
    </row>
    <row r="1134">
      <c r="A1134" t="inlineStr" s="21">
        <is>
          <t xml:space="preserve">Calculation</t>
        </is>
      </c>
      <c r="B1134">
        <f>IF(IF(DATE(2026,5,1)=EDATE('Editable assumptions'!B16,'Editable assumptions'!B15-1*1)="",FALSE,DATE(2026,5,1)=EDATE('Editable assumptions'!B16,'Editable assumptions'!B15-1*1)),IF('Model inputs'!H12="","",'Model inputs'!H12),"")</f>
      </c>
    </row>
    <row r="1135">
      <c r="A1135" t="inlineStr" s="21">
        <is>
          <t xml:space="preserve">Calculation</t>
        </is>
      </c>
      <c r="B1135">
        <f>IF(IF(DATE(2026,6,1)=EDATE('Editable assumptions'!B16,'Editable assumptions'!B15-1*1)="",FALSE,DATE(2026,6,1)=EDATE('Editable assumptions'!B16,'Editable assumptions'!B15-1*1)),IF('Model inputs'!I12="","",'Model inputs'!I12),"")</f>
      </c>
    </row>
    <row r="1136">
      <c r="A1136" t="inlineStr" s="21">
        <is>
          <t xml:space="preserve">Calculation</t>
        </is>
      </c>
      <c r="B1136">
        <f>IF(IF(DATE(2026,7,1)=EDATE('Editable assumptions'!B16,'Editable assumptions'!B15-1*1)="",FALSE,DATE(2026,7,1)=EDATE('Editable assumptions'!B16,'Editable assumptions'!B15-1*1)),IF('Model inputs'!J12="","",'Model inputs'!J12),"")</f>
      </c>
    </row>
    <row r="1137">
      <c r="A1137" t="inlineStr" s="21">
        <is>
          <t xml:space="preserve">Calculation</t>
        </is>
      </c>
      <c r="B1137">
        <f>IF(IF(DATE(2026,8,1)=EDATE('Editable assumptions'!B16,'Editable assumptions'!B15-1*1)="",FALSE,DATE(2026,8,1)=EDATE('Editable assumptions'!B16,'Editable assumptions'!B15-1*1)),IF('Model inputs'!K12="","",'Model inputs'!K12),"")</f>
      </c>
    </row>
    <row r="1138">
      <c r="A1138" t="inlineStr" s="21">
        <is>
          <t xml:space="preserve">Calculation</t>
        </is>
      </c>
      <c r="B1138">
        <f>SUM(IF(IF('Model inputs'!B1105="",0,1)="",0,IF('Model inputs'!B1105="",0,1)),IF(IF('Model inputs'!B1106="",0,1)="",0,IF('Model inputs'!B1106="",0,1)),IF(IF('Model inputs'!B1107="",0,1)="",0,IF('Model inputs'!B1107="",0,1)),IF(IF('Model inputs'!B1108="",0,1)="",0,IF('Model inputs'!B1108="",0,1)),IF(IF('Model inputs'!B1109="",0,1)="",0,IF('Model inputs'!B1109="",0,1)),IF(IF('Model inputs'!B1110="",0,1)="",0,IF('Model inputs'!B1110="",0,1)),IF(IF('Model inputs'!B1111="",0,1)="",0,IF('Model inputs'!B1111="",0,1)),IF(IF('Model inputs'!B1112="",0,1)="",0,IF('Model inputs'!B1112="",0,1)),IF(IF('Model inputs'!B1113="",0,1)="",0,IF('Model inputs'!B1113="",0,1)),IF(IF('Model inputs'!B1114="",0,1)="",0,IF('Model inputs'!B1114="",0,1)),IF(IF('Model inputs'!B1115="",0,1)="",0,IF('Model inputs'!B1115="",0,1)),IF(IF('Model inputs'!B1116="",0,1)="",0,IF('Model inputs'!B1116="",0,1)),IF(IF('Model inputs'!B1117="",0,1)="",0,IF('Model inputs'!B1117="",0,1)),IF(IF('Model inputs'!B1118="",0,1)="",0,IF('Model inputs'!B1118="",0,1)),IF(IF('Model inputs'!B1119="",0,1)="",0,IF('Model inputs'!B1119="",0,1)),IF(IF('Model inputs'!B1120="",0,1)="",0,IF('Model inputs'!B1120="",0,1)),IF(IF('Model inputs'!B1121="",0,1)="",0,IF('Model inputs'!B1121="",0,1)),IF(IF('Model inputs'!B1122="",0,1)="",0,IF('Model inputs'!B1122="",0,1)),IF(IF('Model inputs'!B1123="",0,1)="",0,IF('Model inputs'!B1123="",0,1)),IF(IF('Model inputs'!B1124="",0,1)="",0,IF('Model inputs'!B1124="",0,1)),IF(IF('Model inputs'!B1125="",0,1)="",0,IF('Model inputs'!B1125="",0,1)),IF(IF('Model inputs'!B1126="",0,1)="",0,IF('Model inputs'!B1126="",0,1)),IF(IF('Model inputs'!B1127="",0,1)="",0,IF('Model inputs'!B1127="",0,1)),IF(IF('Model inputs'!B1128="",0,1)="",0,IF('Model inputs'!B1128="",0,1)),IF(IF('Model inputs'!B1129="",0,1)="",0,IF('Model inputs'!B1129="",0,1)),IF(IF('Model inputs'!B1130="",0,1)="",0,IF('Model inputs'!B1130="",0,1)),IF(IF('Model inputs'!B1131="",0,1)="",0,IF('Model inputs'!B1131="",0,1)),IF(IF('Model inputs'!B1132="",0,1)="",0,IF('Model inputs'!B1132="",0,1)),IF(IF('Model inputs'!B1133="",0,1)="",0,IF('Model inputs'!B1133="",0,1)),IF(IF('Model inputs'!B1134="",0,1)="",0,IF('Model inputs'!B1134="",0,1)),IF(IF('Model inputs'!B1135="",0,1)="",0,IF('Model inputs'!B1135="",0,1)),IF(IF('Model inputs'!B1136="",0,1)="",0,IF('Model inputs'!B1136="",0,1)),IF(IF('Model inputs'!B1137="",0,1)="",0,IF('Model inputs'!B1137="",0,1)))</f>
      </c>
    </row>
    <row r="1139">
      <c r="A1139" t="inlineStr" s="21">
        <is>
          <t xml:space="preserve">Calculation</t>
        </is>
      </c>
      <c r="B1139">
        <f>IF(IF(AND('Editable assumptions'!B16&lt;=DATE(2026,9,1),DATE(2026,9,1)&lt;=EDATE('Editable assumptions'!B16,'Editable assumptions'!B15-1*1))="",FALSE,AND('Editable assumptions'!B16&lt;=DATE(2026,9,1),DATE(2026,9,1)&lt;=EDATE('Editable assumptions'!B16,'Editable assumptions'!B15-1*1))),'Monthly forecast and cash'!B29,"")</f>
      </c>
    </row>
    <row r="1140">
      <c r="A1140" t="inlineStr" s="21">
        <is>
          <t xml:space="preserve">Calculation</t>
        </is>
      </c>
      <c r="B1140">
        <f>IF(IF('Model inputs'!B1096="",FALSE,'Model inputs'!B1096),'Monthly forecast and cash'!C29,"")</f>
      </c>
    </row>
    <row r="1141">
      <c r="A1141" t="inlineStr" s="21">
        <is>
          <t xml:space="preserve">Calculation</t>
        </is>
      </c>
      <c r="B1141">
        <f>IF(IF('Model inputs'!B1097="",FALSE,'Model inputs'!B1097),'Monthly forecast and cash'!D29,"")</f>
      </c>
    </row>
    <row r="1142">
      <c r="A1142" t="inlineStr" s="21">
        <is>
          <t xml:space="preserve">Calculation</t>
        </is>
      </c>
      <c r="B1142">
        <f>IF(IF('Model inputs'!B1098="",FALSE,'Model inputs'!B1098),'Monthly forecast and cash'!E29,"")</f>
      </c>
    </row>
    <row r="1143">
      <c r="A1143" t="inlineStr" s="21">
        <is>
          <t xml:space="preserve">Calculation</t>
        </is>
      </c>
      <c r="B1143">
        <f>IF(IF(AND('Editable assumptions'!B16&lt;=DATE(2027,1,1),DATE(2027,1,1)&lt;=EDATE('Editable assumptions'!B16,'Editable assumptions'!B15-1*1))="",FALSE,AND('Editable assumptions'!B16&lt;=DATE(2027,1,1),DATE(2027,1,1)&lt;=EDATE('Editable assumptions'!B16,'Editable assumptions'!B15-1*1))),'Monthly forecast and cash'!F29,"")</f>
      </c>
    </row>
    <row r="1144">
      <c r="A1144" t="inlineStr" s="21">
        <is>
          <t xml:space="preserve">Calculation</t>
        </is>
      </c>
      <c r="B1144">
        <f>IF(IF(AND('Editable assumptions'!B16&lt;=DATE(2027,2,1),DATE(2027,2,1)&lt;=EDATE('Editable assumptions'!B16,'Editable assumptions'!B15-1*1))="",FALSE,AND('Editable assumptions'!B16&lt;=DATE(2027,2,1),DATE(2027,2,1)&lt;=EDATE('Editable assumptions'!B16,'Editable assumptions'!B15-1*1))),'Monthly forecast and cash'!G29,"")</f>
      </c>
    </row>
    <row r="1145">
      <c r="A1145" t="inlineStr" s="21">
        <is>
          <t xml:space="preserve">Calculation</t>
        </is>
      </c>
      <c r="B1145">
        <f>IF(IF(AND('Editable assumptions'!B16&lt;=DATE(2027,3,1),DATE(2027,3,1)&lt;=EDATE('Editable assumptions'!B16,'Editable assumptions'!B15-1*1))="",FALSE,AND('Editable assumptions'!B16&lt;=DATE(2027,3,1),DATE(2027,3,1)&lt;=EDATE('Editable assumptions'!B16,'Editable assumptions'!B15-1*1))),'Monthly forecast and cash'!H29,"")</f>
      </c>
    </row>
    <row r="1146">
      <c r="A1146" t="inlineStr" s="21">
        <is>
          <t xml:space="preserve">Calculation</t>
        </is>
      </c>
      <c r="B1146">
        <f>IF(IF(AND('Editable assumptions'!B16&lt;=DATE(2027,4,1),DATE(2027,4,1)&lt;=EDATE('Editable assumptions'!B16,'Editable assumptions'!B15-1*1))="",FALSE,AND('Editable assumptions'!B16&lt;=DATE(2027,4,1),DATE(2027,4,1)&lt;=EDATE('Editable assumptions'!B16,'Editable assumptions'!B15-1*1))),'Monthly forecast and cash'!I29,"")</f>
      </c>
    </row>
    <row r="1147">
      <c r="A1147" t="inlineStr" s="21">
        <is>
          <t xml:space="preserve">Calculation</t>
        </is>
      </c>
      <c r="B1147">
        <f>IF(IF(AND('Editable assumptions'!B16&lt;=DATE(2027,5,1),DATE(2027,5,1)&lt;=EDATE('Editable assumptions'!B16,'Editable assumptions'!B15-1*1))="",FALSE,AND('Editable assumptions'!B16&lt;=DATE(2027,5,1),DATE(2027,5,1)&lt;=EDATE('Editable assumptions'!B16,'Editable assumptions'!B15-1*1))),'Monthly forecast and cash'!J29,"")</f>
      </c>
    </row>
    <row r="1148">
      <c r="A1148" t="inlineStr" s="21">
        <is>
          <t xml:space="preserve">Calculation</t>
        </is>
      </c>
      <c r="B1148">
        <f>IF(IF(AND('Editable assumptions'!B16&lt;=DATE(2027,6,1),DATE(2027,6,1)&lt;=EDATE('Editable assumptions'!B16,'Editable assumptions'!B15-1*1))="",FALSE,AND('Editable assumptions'!B16&lt;=DATE(2027,6,1),DATE(2027,6,1)&lt;=EDATE('Editable assumptions'!B16,'Editable assumptions'!B15-1*1))),'Monthly forecast and cash'!K29,"")</f>
      </c>
    </row>
    <row r="1149">
      <c r="A1149" t="inlineStr" s="21">
        <is>
          <t xml:space="preserve">Calculation</t>
        </is>
      </c>
      <c r="B1149">
        <f>IF(IF(AND('Editable assumptions'!B16&lt;=DATE(2027,7,1),DATE(2027,7,1)&lt;=EDATE('Editable assumptions'!B16,'Editable assumptions'!B15-1*1))="",FALSE,AND('Editable assumptions'!B16&lt;=DATE(2027,7,1),DATE(2027,7,1)&lt;=EDATE('Editable assumptions'!B16,'Editable assumptions'!B15-1*1))),'Monthly forecast and cash'!L29,"")</f>
      </c>
    </row>
    <row r="1150">
      <c r="A1150" t="inlineStr" s="21">
        <is>
          <t xml:space="preserve">Calculation</t>
        </is>
      </c>
      <c r="B1150">
        <f>IF(IF(AND('Editable assumptions'!B16&lt;=DATE(2027,8,1),DATE(2027,8,1)&lt;=EDATE('Editable assumptions'!B16,'Editable assumptions'!B15-1*1))="",FALSE,AND('Editable assumptions'!B16&lt;=DATE(2027,8,1),DATE(2027,8,1)&lt;=EDATE('Editable assumptions'!B16,'Editable assumptions'!B15-1*1))),'Monthly forecast and cash'!M29,"")</f>
      </c>
    </row>
    <row r="1151">
      <c r="A1151" t="inlineStr" s="21">
        <is>
          <t xml:space="preserve">Calculation</t>
        </is>
      </c>
      <c r="B1151">
        <f>IF(IF(AND('Editable assumptions'!B16&lt;=DATE(2027,9,1),DATE(2027,9,1)&lt;=EDATE('Editable assumptions'!B16,'Editable assumptions'!B15-1*1))="",FALSE,AND('Editable assumptions'!B16&lt;=DATE(2027,9,1),DATE(2027,9,1)&lt;=EDATE('Editable assumptions'!B16,'Editable assumptions'!B15-1*1))),'Monthly forecast and cash'!N29,"")</f>
      </c>
    </row>
    <row r="1152">
      <c r="A1152" t="inlineStr" s="21">
        <is>
          <t xml:space="preserve">Calculation</t>
        </is>
      </c>
      <c r="B1152">
        <f>IF(IF('Model inputs'!B1099="",FALSE,'Model inputs'!B1099),'Monthly forecast and cash'!O29,"")</f>
      </c>
    </row>
    <row r="1153">
      <c r="A1153" t="inlineStr" s="21">
        <is>
          <t xml:space="preserve">Calculation</t>
        </is>
      </c>
      <c r="B1153">
        <f>IF(IF('Model inputs'!B1100="",FALSE,'Model inputs'!B1100),'Monthly forecast and cash'!P29,"")</f>
      </c>
    </row>
    <row r="1154">
      <c r="A1154" t="inlineStr" s="21">
        <is>
          <t xml:space="preserve">Calculation</t>
        </is>
      </c>
      <c r="B1154">
        <f>IF(IF('Model inputs'!B1101="",FALSE,'Model inputs'!B1101),'Monthly forecast and cash'!Q29,"")</f>
      </c>
    </row>
    <row r="1155">
      <c r="A1155" t="inlineStr" s="21">
        <is>
          <t xml:space="preserve">Calculation</t>
        </is>
      </c>
      <c r="B1155">
        <f>IF(IF(AND('Editable assumptions'!B16&lt;=DATE(2028,1,1),DATE(2028,1,1)&lt;=EDATE('Editable assumptions'!B16,'Editable assumptions'!B15-1*1))="",FALSE,AND('Editable assumptions'!B16&lt;=DATE(2028,1,1),DATE(2028,1,1)&lt;=EDATE('Editable assumptions'!B16,'Editable assumptions'!B15-1*1))),'Monthly forecast and cash'!R29,"")</f>
      </c>
    </row>
    <row r="1156">
      <c r="A1156" t="inlineStr" s="21">
        <is>
          <t xml:space="preserve">Calculation</t>
        </is>
      </c>
      <c r="B1156">
        <f>IF(IF(AND('Editable assumptions'!B16&lt;=DATE(2028,2,1),DATE(2028,2,1)&lt;=EDATE('Editable assumptions'!B16,'Editable assumptions'!B15-1*1))="",FALSE,AND('Editable assumptions'!B16&lt;=DATE(2028,2,1),DATE(2028,2,1)&lt;=EDATE('Editable assumptions'!B16,'Editable assumptions'!B15-1*1))),'Monthly forecast and cash'!S29,"")</f>
      </c>
    </row>
    <row r="1157">
      <c r="A1157" t="inlineStr" s="21">
        <is>
          <t xml:space="preserve">Calculation</t>
        </is>
      </c>
      <c r="B1157">
        <f>IF(IF(AND('Editable assumptions'!B16&lt;=DATE(2028,3,1),DATE(2028,3,1)&lt;=EDATE('Editable assumptions'!B16,'Editable assumptions'!B15-1*1))="",FALSE,AND('Editable assumptions'!B16&lt;=DATE(2028,3,1),DATE(2028,3,1)&lt;=EDATE('Editable assumptions'!B16,'Editable assumptions'!B15-1*1))),'Monthly forecast and cash'!T29,"")</f>
      </c>
    </row>
    <row r="1158">
      <c r="A1158" t="inlineStr" s="21">
        <is>
          <t xml:space="preserve">Calculation</t>
        </is>
      </c>
      <c r="B1158">
        <f>IF(IF(AND('Editable assumptions'!B16&lt;=DATE(2028,4,1),DATE(2028,4,1)&lt;=EDATE('Editable assumptions'!B16,'Editable assumptions'!B15-1*1))="",FALSE,AND('Editable assumptions'!B16&lt;=DATE(2028,4,1),DATE(2028,4,1)&lt;=EDATE('Editable assumptions'!B16,'Editable assumptions'!B15-1*1))),'Monthly forecast and cash'!U29,"")</f>
      </c>
    </row>
    <row r="1159">
      <c r="A1159" t="inlineStr" s="21">
        <is>
          <t xml:space="preserve">Calculation</t>
        </is>
      </c>
      <c r="B1159">
        <f>IF(IF(AND('Editable assumptions'!B16&lt;=DATE(2028,5,1),DATE(2028,5,1)&lt;=EDATE('Editable assumptions'!B16,'Editable assumptions'!B15-1*1))="",FALSE,AND('Editable assumptions'!B16&lt;=DATE(2028,5,1),DATE(2028,5,1)&lt;=EDATE('Editable assumptions'!B16,'Editable assumptions'!B15-1*1))),'Monthly forecast and cash'!V29,"")</f>
      </c>
    </row>
    <row r="1160">
      <c r="A1160" t="inlineStr" s="21">
        <is>
          <t xml:space="preserve">Calculation</t>
        </is>
      </c>
      <c r="B1160">
        <f>IF(IF(AND('Editable assumptions'!B16&lt;=DATE(2028,6,1),DATE(2028,6,1)&lt;=EDATE('Editable assumptions'!B16,'Editable assumptions'!B15-1*1))="",FALSE,AND('Editable assumptions'!B16&lt;=DATE(2028,6,1),DATE(2028,6,1)&lt;=EDATE('Editable assumptions'!B16,'Editable assumptions'!B15-1*1))),'Monthly forecast and cash'!W29,"")</f>
      </c>
    </row>
    <row r="1161">
      <c r="A1161" t="inlineStr" s="21">
        <is>
          <t xml:space="preserve">Calculation</t>
        </is>
      </c>
      <c r="B1161">
        <f>IF(IF(AND('Editable assumptions'!B16&lt;=DATE(2028,7,1),DATE(2028,7,1)&lt;=EDATE('Editable assumptions'!B16,'Editable assumptions'!B15-1*1))="",FALSE,AND('Editable assumptions'!B16&lt;=DATE(2028,7,1),DATE(2028,7,1)&lt;=EDATE('Editable assumptions'!B16,'Editable assumptions'!B15-1*1))),'Monthly forecast and cash'!X29,"")</f>
      </c>
    </row>
    <row r="1162">
      <c r="A1162" t="inlineStr" s="21">
        <is>
          <t xml:space="preserve">Calculation</t>
        </is>
      </c>
      <c r="B1162">
        <f>IF(IF(AND('Editable assumptions'!B16&lt;=DATE(2028,8,1),DATE(2028,8,1)&lt;=EDATE('Editable assumptions'!B16,'Editable assumptions'!B15-1*1))="",FALSE,AND('Editable assumptions'!B16&lt;=DATE(2028,8,1),DATE(2028,8,1)&lt;=EDATE('Editable assumptions'!B16,'Editable assumptions'!B15-1*1))),'Monthly forecast and cash'!Y29,"")</f>
      </c>
    </row>
    <row r="1163">
      <c r="A1163" t="inlineStr" s="21">
        <is>
          <t xml:space="preserve">Calculation</t>
        </is>
      </c>
      <c r="B1163">
        <f>IF(IF(AND('Editable assumptions'!B16&lt;=DATE(2028,9,1),DATE(2028,9,1)&lt;=EDATE('Editable assumptions'!B16,'Editable assumptions'!B15-1*1))="",FALSE,AND('Editable assumptions'!B16&lt;=DATE(2028,9,1),DATE(2028,9,1)&lt;=EDATE('Editable assumptions'!B16,'Editable assumptions'!B15-1*1))),'Monthly forecast and cash'!Z29,"")</f>
      </c>
    </row>
    <row r="1164">
      <c r="A1164" t="inlineStr" s="21">
        <is>
          <t xml:space="preserve">Calculation</t>
        </is>
      </c>
      <c r="B1164">
        <f>IF(IF(AND('Editable assumptions'!B16&lt;=DATE(2026,1,1),DATE(2026,1,1)&lt;=EDATE('Editable assumptions'!B16,'Editable assumptions'!B15-1*1))="",FALSE,AND('Editable assumptions'!B16&lt;=DATE(2026,1,1),DATE(2026,1,1)&lt;=EDATE('Editable assumptions'!B16,'Editable assumptions'!B15-1*1))),'Model inputs'!D12,"")</f>
      </c>
    </row>
    <row r="1165">
      <c r="A1165" t="inlineStr" s="21">
        <is>
          <t xml:space="preserve">Calculation</t>
        </is>
      </c>
      <c r="B1165">
        <f>IF(IF(AND('Editable assumptions'!B16&lt;=DATE(2026,2,1),DATE(2026,2,1)&lt;=EDATE('Editable assumptions'!B16,'Editable assumptions'!B15-1*1))="",FALSE,AND('Editable assumptions'!B16&lt;=DATE(2026,2,1),DATE(2026,2,1)&lt;=EDATE('Editable assumptions'!B16,'Editable assumptions'!B15-1*1))),'Model inputs'!E12,"")</f>
      </c>
    </row>
    <row r="1166">
      <c r="A1166" t="inlineStr" s="21">
        <is>
          <t xml:space="preserve">Calculation</t>
        </is>
      </c>
      <c r="B1166">
        <f>IF(IF(AND('Editable assumptions'!B16&lt;=DATE(2026,3,1),DATE(2026,3,1)&lt;=EDATE('Editable assumptions'!B16,'Editable assumptions'!B15-1*1))="",FALSE,AND('Editable assumptions'!B16&lt;=DATE(2026,3,1),DATE(2026,3,1)&lt;=EDATE('Editable assumptions'!B16,'Editable assumptions'!B15-1*1))),'Model inputs'!F12,"")</f>
      </c>
    </row>
    <row r="1167">
      <c r="A1167" t="inlineStr" s="21">
        <is>
          <t xml:space="preserve">Calculation</t>
        </is>
      </c>
      <c r="B1167">
        <f>IF(IF(AND('Editable assumptions'!B16&lt;=DATE(2026,4,1),DATE(2026,4,1)&lt;=EDATE('Editable assumptions'!B16,'Editable assumptions'!B15-1*1))="",FALSE,AND('Editable assumptions'!B16&lt;=DATE(2026,4,1),DATE(2026,4,1)&lt;=EDATE('Editable assumptions'!B16,'Editable assumptions'!B15-1*1))),'Model inputs'!G12,"")</f>
      </c>
    </row>
    <row r="1168">
      <c r="A1168" t="inlineStr" s="21">
        <is>
          <t xml:space="preserve">Calculation</t>
        </is>
      </c>
      <c r="B1168">
        <f>IF(IF(AND('Editable assumptions'!B16&lt;=DATE(2026,5,1),DATE(2026,5,1)&lt;=EDATE('Editable assumptions'!B16,'Editable assumptions'!B15-1*1))="",FALSE,AND('Editable assumptions'!B16&lt;=DATE(2026,5,1),DATE(2026,5,1)&lt;=EDATE('Editable assumptions'!B16,'Editable assumptions'!B15-1*1))),'Model inputs'!H12,"")</f>
      </c>
    </row>
    <row r="1169">
      <c r="A1169" t="inlineStr" s="21">
        <is>
          <t xml:space="preserve">Calculation</t>
        </is>
      </c>
      <c r="B1169">
        <f>IF(IF(AND('Editable assumptions'!B16&lt;=DATE(2026,6,1),DATE(2026,6,1)&lt;=EDATE('Editable assumptions'!B16,'Editable assumptions'!B15-1*1))="",FALSE,AND('Editable assumptions'!B16&lt;=DATE(2026,6,1),DATE(2026,6,1)&lt;=EDATE('Editable assumptions'!B16,'Editable assumptions'!B15-1*1))),'Model inputs'!I12,"")</f>
      </c>
    </row>
    <row r="1170">
      <c r="A1170" t="inlineStr" s="21">
        <is>
          <t xml:space="preserve">Calculation</t>
        </is>
      </c>
      <c r="B1170">
        <f>IF(IF(AND('Editable assumptions'!B16&lt;=DATE(2026,7,1),DATE(2026,7,1)&lt;=EDATE('Editable assumptions'!B16,'Editable assumptions'!B15-1*1))="",FALSE,AND('Editable assumptions'!B16&lt;=DATE(2026,7,1),DATE(2026,7,1)&lt;=EDATE('Editable assumptions'!B16,'Editable assumptions'!B15-1*1))),'Model inputs'!J12,"")</f>
      </c>
    </row>
    <row r="1171">
      <c r="A1171" t="inlineStr" s="21">
        <is>
          <t xml:space="preserve">Calculation</t>
        </is>
      </c>
      <c r="B1171">
        <f>IF(IF(AND('Editable assumptions'!B16&lt;=DATE(2026,8,1),DATE(2026,8,1)&lt;=EDATE('Editable assumptions'!B16,'Editable assumptions'!B15-1*1))="",FALSE,AND('Editable assumptions'!B16&lt;=DATE(2026,8,1),DATE(2026,8,1)&lt;=EDATE('Editable assumptions'!B16,'Editable assumptions'!B15-1*1))),'Model inputs'!K12,"")</f>
      </c>
    </row>
    <row r="1172">
      <c r="A1172" t="inlineStr" s="21">
        <is>
          <t xml:space="preserve">Calculation</t>
        </is>
      </c>
      <c r="B1172">
        <f>IF(IF(AND('Model inputs'!C32&lt;=DATE(2026,1,1),DATE(2026,1,1)&lt;=DATE(2026,10,1))="",FALSE,AND('Model inputs'!C32&lt;=DATE(2026,1,1),DATE(2026,1,1)&lt;=DATE(2026,10,1))),'Model inputs'!D12,"")</f>
      </c>
    </row>
    <row r="1173">
      <c r="A1173" t="inlineStr" s="21">
        <is>
          <t xml:space="preserve">Calculation</t>
        </is>
      </c>
      <c r="B1173">
        <f>IF(IF(AND('Model inputs'!C32&lt;=DATE(2026,2,1),DATE(2026,2,1)&lt;=DATE(2026,10,1))="",FALSE,AND('Model inputs'!C32&lt;=DATE(2026,2,1),DATE(2026,2,1)&lt;=DATE(2026,10,1))),'Model inputs'!E12,"")</f>
      </c>
    </row>
    <row r="1174">
      <c r="A1174" t="inlineStr" s="21">
        <is>
          <t xml:space="preserve">Calculation</t>
        </is>
      </c>
      <c r="B1174">
        <f>IF(IF(AND('Model inputs'!C32&lt;=DATE(2026,3,1),DATE(2026,3,1)&lt;=DATE(2026,10,1))="",FALSE,AND('Model inputs'!C32&lt;=DATE(2026,3,1),DATE(2026,3,1)&lt;=DATE(2026,10,1))),'Model inputs'!F12,"")</f>
      </c>
    </row>
    <row r="1175">
      <c r="A1175" t="inlineStr" s="21">
        <is>
          <t xml:space="preserve">Calculation</t>
        </is>
      </c>
      <c r="B1175">
        <f>IF(IF(AND('Model inputs'!C32&lt;=DATE(2026,4,1),DATE(2026,4,1)&lt;=DATE(2026,10,1))="",FALSE,AND('Model inputs'!C32&lt;=DATE(2026,4,1),DATE(2026,4,1)&lt;=DATE(2026,10,1))),'Model inputs'!G12,"")</f>
      </c>
    </row>
    <row r="1176">
      <c r="A1176" t="inlineStr" s="21">
        <is>
          <t xml:space="preserve">Calculation</t>
        </is>
      </c>
      <c r="B1176">
        <f>IF(IF(AND('Model inputs'!C32&lt;=DATE(2026,5,1),DATE(2026,5,1)&lt;=DATE(2026,10,1))="",FALSE,AND('Model inputs'!C32&lt;=DATE(2026,5,1),DATE(2026,5,1)&lt;=DATE(2026,10,1))),'Model inputs'!H12,"")</f>
      </c>
    </row>
    <row r="1177">
      <c r="A1177" t="inlineStr" s="21">
        <is>
          <t xml:space="preserve">Calculation</t>
        </is>
      </c>
      <c r="B1177">
        <f>IF(IF(AND('Model inputs'!C32&lt;=DATE(2026,6,1),DATE(2026,6,1)&lt;=DATE(2026,10,1))="",FALSE,AND('Model inputs'!C32&lt;=DATE(2026,6,1),DATE(2026,6,1)&lt;=DATE(2026,10,1))),'Model inputs'!I12,"")</f>
      </c>
    </row>
    <row r="1178">
      <c r="A1178" t="inlineStr" s="21">
        <is>
          <t xml:space="preserve">Calculation</t>
        </is>
      </c>
      <c r="B1178">
        <f>IF(IF(AND('Model inputs'!C32&lt;=DATE(2026,7,1),DATE(2026,7,1)&lt;=DATE(2026,10,1))="",FALSE,AND('Model inputs'!C32&lt;=DATE(2026,7,1),DATE(2026,7,1)&lt;=DATE(2026,10,1))),'Model inputs'!J12,"")</f>
      </c>
    </row>
    <row r="1179">
      <c r="A1179" t="inlineStr" s="21">
        <is>
          <t xml:space="preserve">Calculation</t>
        </is>
      </c>
      <c r="B1179">
        <f>IF(IF(AND('Model inputs'!C32&lt;=DATE(2026,8,1),DATE(2026,8,1)&lt;=DATE(2026,10,1))="",FALSE,AND('Model inputs'!C32&lt;=DATE(2026,8,1),DATE(2026,8,1)&lt;=DATE(2026,10,1))),'Model inputs'!K12,"")</f>
      </c>
    </row>
    <row r="1180">
      <c r="A1180" t="inlineStr" s="21">
        <is>
          <t xml:space="preserve">Calculation</t>
        </is>
      </c>
      <c r="B1180">
        <f>IF(IF(AND('Model inputs'!C32&lt;=DATE(2026,9,1),DATE(2026,9,1)&lt;=DATE(2026,10,1))="",FALSE,AND('Model inputs'!C32&lt;=DATE(2026,9,1),DATE(2026,9,1)&lt;=DATE(2026,10,1))),'Model inputs'!L12,"")</f>
      </c>
    </row>
    <row r="1181">
      <c r="A1181" t="inlineStr" s="21">
        <is>
          <t xml:space="preserve">Calculation</t>
        </is>
      </c>
      <c r="B1181">
        <f>IF(IF(AND('Model inputs'!C32&lt;=DATE(2026,10,1),DATE(2026,10,1)&lt;=DATE(2026,10,1))="",FALSE,AND('Model inputs'!C32&lt;=DATE(2026,10,1),DATE(2026,10,1)&lt;=DATE(2026,10,1))),'Model inputs'!M12,"")</f>
      </c>
    </row>
    <row r="1182">
      <c r="A1182" t="inlineStr" s="21">
        <is>
          <t xml:space="preserve">Calculation</t>
        </is>
      </c>
      <c r="B1182">
        <f>IF(IF(AND('Model inputs'!C32&lt;=DATE(2026,11,1),DATE(2026,11,1)&lt;=DATE(2026,10,1))="",FALSE,AND('Model inputs'!C32&lt;=DATE(2026,11,1),DATE(2026,11,1)&lt;=DATE(2026,10,1))),'Model inputs'!N12,"")</f>
      </c>
    </row>
    <row r="1183">
      <c r="A1183" t="inlineStr" s="21">
        <is>
          <t xml:space="preserve">Calculation</t>
        </is>
      </c>
      <c r="B1183">
        <f>IF(IF(AND('Model inputs'!C32&lt;=DATE(2026,12,1),DATE(2026,12,1)&lt;=DATE(2026,10,1))="",FALSE,AND('Model inputs'!C32&lt;=DATE(2026,12,1),DATE(2026,12,1)&lt;=DATE(2026,10,1))),'Model inputs'!O12,"")</f>
      </c>
    </row>
    <row r="1184">
      <c r="A1184" t="inlineStr" s="21">
        <is>
          <t xml:space="preserve">Calculation</t>
        </is>
      </c>
      <c r="B1184">
        <f>IF(IF(AND('Model inputs'!C32&lt;=DATE(2027,1,1),DATE(2027,1,1)&lt;=DATE(2026,10,1))="",FALSE,AND('Model inputs'!C32&lt;=DATE(2027,1,1),DATE(2027,1,1)&lt;=DATE(2026,10,1))),'Model inputs'!P12,"")</f>
      </c>
    </row>
    <row r="1185">
      <c r="A1185" t="inlineStr" s="21">
        <is>
          <t xml:space="preserve">Calculation</t>
        </is>
      </c>
      <c r="B1185">
        <f>IF(IF(AND('Model inputs'!C32&lt;=DATE(2027,2,1),DATE(2027,2,1)&lt;=DATE(2026,10,1))="",FALSE,AND('Model inputs'!C32&lt;=DATE(2027,2,1),DATE(2027,2,1)&lt;=DATE(2026,10,1))),'Model inputs'!Q12,"")</f>
      </c>
    </row>
    <row r="1186">
      <c r="A1186" t="inlineStr" s="21">
        <is>
          <t xml:space="preserve">Calculation</t>
        </is>
      </c>
      <c r="B1186">
        <f>IF(IF(AND('Model inputs'!C32&lt;=DATE(2027,3,1),DATE(2027,3,1)&lt;=DATE(2026,10,1))="",FALSE,AND('Model inputs'!C32&lt;=DATE(2027,3,1),DATE(2027,3,1)&lt;=DATE(2026,10,1))),'Model inputs'!R12,"")</f>
      </c>
    </row>
    <row r="1187">
      <c r="A1187" t="inlineStr" s="21">
        <is>
          <t xml:space="preserve">Calculation</t>
        </is>
      </c>
      <c r="B1187">
        <f>IF(IF(AND('Model inputs'!C32&lt;=DATE(2027,4,1),DATE(2027,4,1)&lt;=DATE(2026,10,1))="",FALSE,AND('Model inputs'!C32&lt;=DATE(2027,4,1),DATE(2027,4,1)&lt;=DATE(2026,10,1))),'Model inputs'!S12,"")</f>
      </c>
    </row>
    <row r="1188">
      <c r="A1188" t="inlineStr" s="21">
        <is>
          <t xml:space="preserve">Calculation</t>
        </is>
      </c>
      <c r="B1188">
        <f>IF(IF(AND('Model inputs'!C32&lt;=DATE(2027,5,1),DATE(2027,5,1)&lt;=DATE(2026,10,1))="",FALSE,AND('Model inputs'!C32&lt;=DATE(2027,5,1),DATE(2027,5,1)&lt;=DATE(2026,10,1))),'Model inputs'!T12,"")</f>
      </c>
    </row>
    <row r="1189">
      <c r="A1189" t="inlineStr" s="21">
        <is>
          <t xml:space="preserve">Calculation</t>
        </is>
      </c>
      <c r="B1189">
        <f>IF(IF(AND('Model inputs'!C32&lt;=DATE(2027,6,1),DATE(2027,6,1)&lt;=DATE(2026,10,1))="",FALSE,AND('Model inputs'!C32&lt;=DATE(2027,6,1),DATE(2027,6,1)&lt;=DATE(2026,10,1))),'Model inputs'!U12,"")</f>
      </c>
    </row>
    <row r="1190">
      <c r="A1190" t="inlineStr" s="21">
        <is>
          <t xml:space="preserve">Calculation</t>
        </is>
      </c>
      <c r="B1190">
        <f>IF(IF(AND('Model inputs'!C32&lt;=DATE(2027,7,1),DATE(2027,7,1)&lt;=DATE(2026,10,1))="",FALSE,AND('Model inputs'!C32&lt;=DATE(2027,7,1),DATE(2027,7,1)&lt;=DATE(2026,10,1))),'Model inputs'!V12,"")</f>
      </c>
    </row>
    <row r="1191">
      <c r="A1191" t="inlineStr" s="21">
        <is>
          <t xml:space="preserve">Calculation</t>
        </is>
      </c>
      <c r="B1191">
        <f>IF(IF(AND('Model inputs'!C32&lt;=DATE(2027,8,1),DATE(2027,8,1)&lt;=DATE(2026,10,1))="",FALSE,AND('Model inputs'!C32&lt;=DATE(2027,8,1),DATE(2027,8,1)&lt;=DATE(2026,10,1))),'Model inputs'!W12,"")</f>
      </c>
    </row>
    <row r="1192">
      <c r="A1192" t="inlineStr" s="21">
        <is>
          <t xml:space="preserve">Calculation</t>
        </is>
      </c>
      <c r="B1192">
        <f>IF(IF(AND('Model inputs'!C32&lt;=DATE(2027,9,1),DATE(2027,9,1)&lt;=DATE(2026,10,1))="",FALSE,AND('Model inputs'!C32&lt;=DATE(2027,9,1),DATE(2027,9,1)&lt;=DATE(2026,10,1))),'Model inputs'!X12,"")</f>
      </c>
    </row>
    <row r="1193">
      <c r="A1193" t="inlineStr" s="21">
        <is>
          <t xml:space="preserve">Calculation</t>
        </is>
      </c>
      <c r="B1193">
        <f>IF(IF(AND('Model inputs'!C32&lt;=DATE(2027,10,1),DATE(2027,10,1)&lt;=DATE(2026,10,1))="",FALSE,AND('Model inputs'!C32&lt;=DATE(2027,10,1),DATE(2027,10,1)&lt;=DATE(2026,10,1))),'Model inputs'!Y12,"")</f>
      </c>
    </row>
    <row r="1194">
      <c r="A1194" t="inlineStr" s="21">
        <is>
          <t xml:space="preserve">Calculation</t>
        </is>
      </c>
      <c r="B1194">
        <f>IF(IF(AND('Model inputs'!C32&lt;=DATE(2027,11,1),DATE(2027,11,1)&lt;=DATE(2026,10,1))="",FALSE,AND('Model inputs'!C32&lt;=DATE(2027,11,1),DATE(2027,11,1)&lt;=DATE(2026,10,1))),'Model inputs'!Z12,"")</f>
      </c>
    </row>
    <row r="1195">
      <c r="A1195" t="inlineStr" s="21">
        <is>
          <t xml:space="preserve">Calculation</t>
        </is>
      </c>
      <c r="B1195">
        <f>IF(IF(AND('Model inputs'!C32&lt;=DATE(2027,12,1),DATE(2027,12,1)&lt;=DATE(2026,10,1))="",FALSE,AND('Model inputs'!C32&lt;=DATE(2027,12,1),DATE(2027,12,1)&lt;=DATE(2026,10,1))),'Model inputs'!AA12,"")</f>
      </c>
    </row>
    <row r="1196">
      <c r="A1196" t="inlineStr" s="21">
        <is>
          <t xml:space="preserve">Calculation</t>
        </is>
      </c>
      <c r="B1196">
        <f>IF(IF(AND('Model inputs'!C32&lt;=DATE(2028,1,1),DATE(2028,1,1)&lt;=DATE(2026,10,1))="",FALSE,AND('Model inputs'!C32&lt;=DATE(2028,1,1),DATE(2028,1,1)&lt;=DATE(2026,10,1))),'Model inputs'!AB12,"")</f>
      </c>
    </row>
    <row r="1197">
      <c r="A1197" t="inlineStr" s="21">
        <is>
          <t xml:space="preserve">Calculation</t>
        </is>
      </c>
      <c r="B1197">
        <f>IF(IF(AND('Model inputs'!C32&lt;=DATE(2028,2,1),DATE(2028,2,1)&lt;=DATE(2026,10,1))="",FALSE,AND('Model inputs'!C32&lt;=DATE(2028,2,1),DATE(2028,2,1)&lt;=DATE(2026,10,1))),'Model inputs'!AC12,"")</f>
      </c>
    </row>
    <row r="1198">
      <c r="A1198" t="inlineStr" s="21">
        <is>
          <t xml:space="preserve">Calculation</t>
        </is>
      </c>
      <c r="B1198">
        <f>IF(IF(AND('Model inputs'!C32&lt;=DATE(2028,3,1),DATE(2028,3,1)&lt;=DATE(2026,10,1))="",FALSE,AND('Model inputs'!C32&lt;=DATE(2028,3,1),DATE(2028,3,1)&lt;=DATE(2026,10,1))),'Model inputs'!AD12,"")</f>
      </c>
    </row>
    <row r="1199">
      <c r="A1199" t="inlineStr" s="21">
        <is>
          <t xml:space="preserve">Calculation</t>
        </is>
      </c>
      <c r="B1199">
        <f>IF(IF(AND('Model inputs'!C32&lt;=DATE(2028,4,1),DATE(2028,4,1)&lt;=DATE(2026,10,1))="",FALSE,AND('Model inputs'!C32&lt;=DATE(2028,4,1),DATE(2028,4,1)&lt;=DATE(2026,10,1))),'Model inputs'!AE12,"")</f>
      </c>
    </row>
    <row r="1200">
      <c r="A1200" t="inlineStr" s="21">
        <is>
          <t xml:space="preserve">Calculation</t>
        </is>
      </c>
      <c r="B1200">
        <f>IF(IF(AND('Model inputs'!C32&lt;=DATE(2028,5,1),DATE(2028,5,1)&lt;=DATE(2026,10,1))="",FALSE,AND('Model inputs'!C32&lt;=DATE(2028,5,1),DATE(2028,5,1)&lt;=DATE(2026,10,1))),'Model inputs'!AF12,"")</f>
      </c>
    </row>
    <row r="1201">
      <c r="A1201" t="inlineStr" s="21">
        <is>
          <t xml:space="preserve">Calculation</t>
        </is>
      </c>
      <c r="B1201">
        <f>IF(IF(AND('Model inputs'!C32&lt;=DATE(2028,6,1),DATE(2028,6,1)&lt;=DATE(2026,10,1))="",FALSE,AND('Model inputs'!C32&lt;=DATE(2028,6,1),DATE(2028,6,1)&lt;=DATE(2026,10,1))),'Model inputs'!AG12,"")</f>
      </c>
    </row>
    <row r="1202">
      <c r="A1202" t="inlineStr" s="21">
        <is>
          <t xml:space="preserve">Calculation</t>
        </is>
      </c>
      <c r="B1202">
        <f>IF(IF(AND('Model inputs'!C32&lt;=DATE(2028,7,1),DATE(2028,7,1)&lt;=DATE(2026,10,1))="",FALSE,AND('Model inputs'!C32&lt;=DATE(2028,7,1),DATE(2028,7,1)&lt;=DATE(2026,10,1))),'Model inputs'!AH12,"")</f>
      </c>
    </row>
    <row r="1203">
      <c r="A1203" t="inlineStr" s="21">
        <is>
          <t xml:space="preserve">Calculation</t>
        </is>
      </c>
      <c r="B1203">
        <f>IF(IF(AND('Model inputs'!C32&lt;=DATE(2028,8,1),DATE(2028,8,1)&lt;=DATE(2026,10,1))="",FALSE,AND('Model inputs'!C32&lt;=DATE(2028,8,1),DATE(2028,8,1)&lt;=DATE(2026,10,1))),'Model inputs'!AI12,"")</f>
      </c>
    </row>
    <row r="1204">
      <c r="A1204" t="inlineStr" s="21">
        <is>
          <t xml:space="preserve">Calculation</t>
        </is>
      </c>
      <c r="B1204">
        <f>IF(IF(AND('Model inputs'!C32&lt;=DATE(2028,9,1),DATE(2028,9,1)&lt;=DATE(2026,10,1))="",FALSE,AND('Model inputs'!C32&lt;=DATE(2028,9,1),DATE(2028,9,1)&lt;=DATE(2026,10,1))),'Model inputs'!AJ12,"")</f>
      </c>
    </row>
    <row r="1205">
      <c r="A1205" t="inlineStr" s="21">
        <is>
          <t xml:space="preserve">Calculation</t>
        </is>
      </c>
      <c r="B1205">
        <f>IF(AND('Model inputs'!B1172="",'Model inputs'!B1173="",'Model inputs'!B1174="",'Model inputs'!B1175="",'Model inputs'!B1176="",'Model inputs'!B1177="",'Model inputs'!B1178="",'Model inputs'!B1179="",'Model inputs'!B1180="",'Model inputs'!B1181="",'Model inputs'!B1182="",'Model inputs'!B1183="",'Model inputs'!B1184="",'Model inputs'!B1185="",'Model inputs'!B1186="",'Model inputs'!B1187="",'Model inputs'!B1188="",'Model inputs'!B1189="",'Model inputs'!B1190="",'Model inputs'!B1191="",'Model inputs'!B1192="",'Model inputs'!B1193="",'Model inputs'!B1194="",'Model inputs'!B1195="",'Model inputs'!B1196="",'Model inputs'!B1197="",'Model inputs'!B1198="",'Model inputs'!B1199="",'Model inputs'!B1200="",'Model inputs'!B1201="",'Model inputs'!B1202="",'Model inputs'!B1203="",'Model inputs'!B1204=""),"",MIN('Model inputs'!B1172,'Model inputs'!B1173,'Model inputs'!B1174,'Model inputs'!B1175,'Model inputs'!B1176,'Model inputs'!B1177,'Model inputs'!B1178,'Model inputs'!B1179,'Model inputs'!B1180,'Model inputs'!B1181,'Model inputs'!B1182,'Model inputs'!B1183,'Model inputs'!B1184,'Model inputs'!B1185,'Model inputs'!B1186,'Model inputs'!B1187,'Model inputs'!B1188,'Model inputs'!B1189,'Model inputs'!B1190,'Model inputs'!B1191,'Model inputs'!B1192,'Model inputs'!B1193,'Model inputs'!B1194,'Model inputs'!B1195,'Model inputs'!B1196,'Model inputs'!B1197,'Model inputs'!B1198,'Model inputs'!B1199,'Model inputs'!B1200,'Model inputs'!B1201,'Model inputs'!B1202,'Model inputs'!B1203,'Model inputs'!B1204))</f>
      </c>
    </row>
    <row r="1206">
      <c r="A1206" t="inlineStr" s="21">
        <is>
          <t xml:space="preserve">Calculation</t>
        </is>
      </c>
      <c r="B1206">
        <f>IF(IF(AND('Model inputs'!C32&lt;=DATE(2026,1,1),DATE(2026,1,1)&lt;=DATE(2026,11,1))="",FALSE,AND('Model inputs'!C32&lt;=DATE(2026,1,1),DATE(2026,1,1)&lt;=DATE(2026,11,1))),'Model inputs'!D12,"")</f>
      </c>
    </row>
    <row r="1207">
      <c r="A1207" t="inlineStr" s="21">
        <is>
          <t xml:space="preserve">Calculation</t>
        </is>
      </c>
      <c r="B1207">
        <f>IF(IF(AND('Model inputs'!C32&lt;=DATE(2026,2,1),DATE(2026,2,1)&lt;=DATE(2026,11,1))="",FALSE,AND('Model inputs'!C32&lt;=DATE(2026,2,1),DATE(2026,2,1)&lt;=DATE(2026,11,1))),'Model inputs'!E12,"")</f>
      </c>
    </row>
    <row r="1208">
      <c r="A1208" t="inlineStr" s="21">
        <is>
          <t xml:space="preserve">Calculation</t>
        </is>
      </c>
      <c r="B1208">
        <f>IF(IF(AND('Model inputs'!C32&lt;=DATE(2026,3,1),DATE(2026,3,1)&lt;=DATE(2026,11,1))="",FALSE,AND('Model inputs'!C32&lt;=DATE(2026,3,1),DATE(2026,3,1)&lt;=DATE(2026,11,1))),'Model inputs'!F12,"")</f>
      </c>
    </row>
    <row r="1209">
      <c r="A1209" t="inlineStr" s="21">
        <is>
          <t xml:space="preserve">Calculation</t>
        </is>
      </c>
      <c r="B1209">
        <f>IF(IF(AND('Model inputs'!C32&lt;=DATE(2026,4,1),DATE(2026,4,1)&lt;=DATE(2026,11,1))="",FALSE,AND('Model inputs'!C32&lt;=DATE(2026,4,1),DATE(2026,4,1)&lt;=DATE(2026,11,1))),'Model inputs'!G12,"")</f>
      </c>
    </row>
    <row r="1210">
      <c r="A1210" t="inlineStr" s="21">
        <is>
          <t xml:space="preserve">Calculation</t>
        </is>
      </c>
      <c r="B1210">
        <f>IF(IF(AND('Model inputs'!C32&lt;=DATE(2026,5,1),DATE(2026,5,1)&lt;=DATE(2026,11,1))="",FALSE,AND('Model inputs'!C32&lt;=DATE(2026,5,1),DATE(2026,5,1)&lt;=DATE(2026,11,1))),'Model inputs'!H12,"")</f>
      </c>
    </row>
    <row r="1211">
      <c r="A1211" t="inlineStr" s="21">
        <is>
          <t xml:space="preserve">Calculation</t>
        </is>
      </c>
      <c r="B1211">
        <f>IF(IF(AND('Model inputs'!C32&lt;=DATE(2026,6,1),DATE(2026,6,1)&lt;=DATE(2026,11,1))="",FALSE,AND('Model inputs'!C32&lt;=DATE(2026,6,1),DATE(2026,6,1)&lt;=DATE(2026,11,1))),'Model inputs'!I12,"")</f>
      </c>
    </row>
    <row r="1212">
      <c r="A1212" t="inlineStr" s="21">
        <is>
          <t xml:space="preserve">Calculation</t>
        </is>
      </c>
      <c r="B1212">
        <f>IF(IF(AND('Model inputs'!C32&lt;=DATE(2026,7,1),DATE(2026,7,1)&lt;=DATE(2026,11,1))="",FALSE,AND('Model inputs'!C32&lt;=DATE(2026,7,1),DATE(2026,7,1)&lt;=DATE(2026,11,1))),'Model inputs'!J12,"")</f>
      </c>
    </row>
    <row r="1213">
      <c r="A1213" t="inlineStr" s="21">
        <is>
          <t xml:space="preserve">Calculation</t>
        </is>
      </c>
      <c r="B1213">
        <f>IF(IF(AND('Model inputs'!C32&lt;=DATE(2026,8,1),DATE(2026,8,1)&lt;=DATE(2026,11,1))="",FALSE,AND('Model inputs'!C32&lt;=DATE(2026,8,1),DATE(2026,8,1)&lt;=DATE(2026,11,1))),'Model inputs'!K12,"")</f>
      </c>
    </row>
    <row r="1214">
      <c r="A1214" t="inlineStr" s="21">
        <is>
          <t xml:space="preserve">Calculation</t>
        </is>
      </c>
      <c r="B1214">
        <f>IF(IF(AND('Model inputs'!C32&lt;=DATE(2026,9,1),DATE(2026,9,1)&lt;=DATE(2026,11,1))="",FALSE,AND('Model inputs'!C32&lt;=DATE(2026,9,1),DATE(2026,9,1)&lt;=DATE(2026,11,1))),'Model inputs'!L12,"")</f>
      </c>
    </row>
    <row r="1215">
      <c r="A1215" t="inlineStr" s="21">
        <is>
          <t xml:space="preserve">Calculation</t>
        </is>
      </c>
      <c r="B1215">
        <f>IF(IF(AND('Model inputs'!C32&lt;=DATE(2026,10,1),DATE(2026,10,1)&lt;=DATE(2026,11,1))="",FALSE,AND('Model inputs'!C32&lt;=DATE(2026,10,1),DATE(2026,10,1)&lt;=DATE(2026,11,1))),'Model inputs'!M12,"")</f>
      </c>
    </row>
    <row r="1216">
      <c r="A1216" t="inlineStr" s="21">
        <is>
          <t xml:space="preserve">Calculation</t>
        </is>
      </c>
      <c r="B1216">
        <f>IF(IF(AND('Model inputs'!C32&lt;=DATE(2026,11,1),DATE(2026,11,1)&lt;=DATE(2026,11,1))="",FALSE,AND('Model inputs'!C32&lt;=DATE(2026,11,1),DATE(2026,11,1)&lt;=DATE(2026,11,1))),'Model inputs'!N12,"")</f>
      </c>
    </row>
    <row r="1217">
      <c r="A1217" t="inlineStr" s="21">
        <is>
          <t xml:space="preserve">Calculation</t>
        </is>
      </c>
      <c r="B1217">
        <f>IF(IF(AND('Model inputs'!C32&lt;=DATE(2026,12,1),DATE(2026,12,1)&lt;=DATE(2026,11,1))="",FALSE,AND('Model inputs'!C32&lt;=DATE(2026,12,1),DATE(2026,12,1)&lt;=DATE(2026,11,1))),'Model inputs'!O12,"")</f>
      </c>
    </row>
    <row r="1218">
      <c r="A1218" t="inlineStr" s="21">
        <is>
          <t xml:space="preserve">Calculation</t>
        </is>
      </c>
      <c r="B1218">
        <f>IF(IF(AND('Model inputs'!C32&lt;=DATE(2027,1,1),DATE(2027,1,1)&lt;=DATE(2026,11,1))="",FALSE,AND('Model inputs'!C32&lt;=DATE(2027,1,1),DATE(2027,1,1)&lt;=DATE(2026,11,1))),'Model inputs'!P12,"")</f>
      </c>
    </row>
    <row r="1219">
      <c r="A1219" t="inlineStr" s="21">
        <is>
          <t xml:space="preserve">Calculation</t>
        </is>
      </c>
      <c r="B1219">
        <f>IF(IF(AND('Model inputs'!C32&lt;=DATE(2027,2,1),DATE(2027,2,1)&lt;=DATE(2026,11,1))="",FALSE,AND('Model inputs'!C32&lt;=DATE(2027,2,1),DATE(2027,2,1)&lt;=DATE(2026,11,1))),'Model inputs'!Q12,"")</f>
      </c>
    </row>
    <row r="1220">
      <c r="A1220" t="inlineStr" s="21">
        <is>
          <t xml:space="preserve">Calculation</t>
        </is>
      </c>
      <c r="B1220">
        <f>IF(IF(AND('Model inputs'!C32&lt;=DATE(2027,3,1),DATE(2027,3,1)&lt;=DATE(2026,11,1))="",FALSE,AND('Model inputs'!C32&lt;=DATE(2027,3,1),DATE(2027,3,1)&lt;=DATE(2026,11,1))),'Model inputs'!R12,"")</f>
      </c>
    </row>
    <row r="1221">
      <c r="A1221" t="inlineStr" s="21">
        <is>
          <t xml:space="preserve">Calculation</t>
        </is>
      </c>
      <c r="B1221">
        <f>IF(IF(AND('Model inputs'!C32&lt;=DATE(2027,4,1),DATE(2027,4,1)&lt;=DATE(2026,11,1))="",FALSE,AND('Model inputs'!C32&lt;=DATE(2027,4,1),DATE(2027,4,1)&lt;=DATE(2026,11,1))),'Model inputs'!S12,"")</f>
      </c>
    </row>
    <row r="1222">
      <c r="A1222" t="inlineStr" s="21">
        <is>
          <t xml:space="preserve">Calculation</t>
        </is>
      </c>
      <c r="B1222">
        <f>IF(IF(AND('Model inputs'!C32&lt;=DATE(2027,5,1),DATE(2027,5,1)&lt;=DATE(2026,11,1))="",FALSE,AND('Model inputs'!C32&lt;=DATE(2027,5,1),DATE(2027,5,1)&lt;=DATE(2026,11,1))),'Model inputs'!T12,"")</f>
      </c>
    </row>
    <row r="1223">
      <c r="A1223" t="inlineStr" s="21">
        <is>
          <t xml:space="preserve">Calculation</t>
        </is>
      </c>
      <c r="B1223">
        <f>IF(IF(AND('Model inputs'!C32&lt;=DATE(2027,6,1),DATE(2027,6,1)&lt;=DATE(2026,11,1))="",FALSE,AND('Model inputs'!C32&lt;=DATE(2027,6,1),DATE(2027,6,1)&lt;=DATE(2026,11,1))),'Model inputs'!U12,"")</f>
      </c>
    </row>
    <row r="1224">
      <c r="A1224" t="inlineStr" s="21">
        <is>
          <t xml:space="preserve">Calculation</t>
        </is>
      </c>
      <c r="B1224">
        <f>IF(IF(AND('Model inputs'!C32&lt;=DATE(2027,7,1),DATE(2027,7,1)&lt;=DATE(2026,11,1))="",FALSE,AND('Model inputs'!C32&lt;=DATE(2027,7,1),DATE(2027,7,1)&lt;=DATE(2026,11,1))),'Model inputs'!V12,"")</f>
      </c>
    </row>
    <row r="1225">
      <c r="A1225" t="inlineStr" s="21">
        <is>
          <t xml:space="preserve">Calculation</t>
        </is>
      </c>
      <c r="B1225">
        <f>IF(IF(AND('Model inputs'!C32&lt;=DATE(2027,8,1),DATE(2027,8,1)&lt;=DATE(2026,11,1))="",FALSE,AND('Model inputs'!C32&lt;=DATE(2027,8,1),DATE(2027,8,1)&lt;=DATE(2026,11,1))),'Model inputs'!W12,"")</f>
      </c>
    </row>
    <row r="1226">
      <c r="A1226" t="inlineStr" s="21">
        <is>
          <t xml:space="preserve">Calculation</t>
        </is>
      </c>
      <c r="B1226">
        <f>IF(IF(AND('Model inputs'!C32&lt;=DATE(2027,9,1),DATE(2027,9,1)&lt;=DATE(2026,11,1))="",FALSE,AND('Model inputs'!C32&lt;=DATE(2027,9,1),DATE(2027,9,1)&lt;=DATE(2026,11,1))),'Model inputs'!X12,"")</f>
      </c>
    </row>
    <row r="1227">
      <c r="A1227" t="inlineStr" s="21">
        <is>
          <t xml:space="preserve">Calculation</t>
        </is>
      </c>
      <c r="B1227">
        <f>IF(IF(AND('Model inputs'!C32&lt;=DATE(2027,10,1),DATE(2027,10,1)&lt;=DATE(2026,11,1))="",FALSE,AND('Model inputs'!C32&lt;=DATE(2027,10,1),DATE(2027,10,1)&lt;=DATE(2026,11,1))),'Model inputs'!Y12,"")</f>
      </c>
    </row>
    <row r="1228">
      <c r="A1228" t="inlineStr" s="21">
        <is>
          <t xml:space="preserve">Calculation</t>
        </is>
      </c>
      <c r="B1228">
        <f>IF(IF(AND('Model inputs'!C32&lt;=DATE(2027,11,1),DATE(2027,11,1)&lt;=DATE(2026,11,1))="",FALSE,AND('Model inputs'!C32&lt;=DATE(2027,11,1),DATE(2027,11,1)&lt;=DATE(2026,11,1))),'Model inputs'!Z12,"")</f>
      </c>
    </row>
    <row r="1229">
      <c r="A1229" t="inlineStr" s="21">
        <is>
          <t xml:space="preserve">Calculation</t>
        </is>
      </c>
      <c r="B1229">
        <f>IF(IF(AND('Model inputs'!C32&lt;=DATE(2027,12,1),DATE(2027,12,1)&lt;=DATE(2026,11,1))="",FALSE,AND('Model inputs'!C32&lt;=DATE(2027,12,1),DATE(2027,12,1)&lt;=DATE(2026,11,1))),'Model inputs'!AA12,"")</f>
      </c>
    </row>
    <row r="1230">
      <c r="A1230" t="inlineStr" s="21">
        <is>
          <t xml:space="preserve">Calculation</t>
        </is>
      </c>
      <c r="B1230">
        <f>IF(IF(AND('Model inputs'!C32&lt;=DATE(2028,1,1),DATE(2028,1,1)&lt;=DATE(2026,11,1))="",FALSE,AND('Model inputs'!C32&lt;=DATE(2028,1,1),DATE(2028,1,1)&lt;=DATE(2026,11,1))),'Model inputs'!AB12,"")</f>
      </c>
    </row>
    <row r="1231">
      <c r="A1231" t="inlineStr" s="21">
        <is>
          <t xml:space="preserve">Calculation</t>
        </is>
      </c>
      <c r="B1231">
        <f>IF(IF(AND('Model inputs'!C32&lt;=DATE(2028,2,1),DATE(2028,2,1)&lt;=DATE(2026,11,1))="",FALSE,AND('Model inputs'!C32&lt;=DATE(2028,2,1),DATE(2028,2,1)&lt;=DATE(2026,11,1))),'Model inputs'!AC12,"")</f>
      </c>
    </row>
    <row r="1232">
      <c r="A1232" t="inlineStr" s="21">
        <is>
          <t xml:space="preserve">Calculation</t>
        </is>
      </c>
      <c r="B1232">
        <f>IF(IF(AND('Model inputs'!C32&lt;=DATE(2028,3,1),DATE(2028,3,1)&lt;=DATE(2026,11,1))="",FALSE,AND('Model inputs'!C32&lt;=DATE(2028,3,1),DATE(2028,3,1)&lt;=DATE(2026,11,1))),'Model inputs'!AD12,"")</f>
      </c>
    </row>
    <row r="1233">
      <c r="A1233" t="inlineStr" s="21">
        <is>
          <t xml:space="preserve">Calculation</t>
        </is>
      </c>
      <c r="B1233">
        <f>IF(IF(AND('Model inputs'!C32&lt;=DATE(2028,4,1),DATE(2028,4,1)&lt;=DATE(2026,11,1))="",FALSE,AND('Model inputs'!C32&lt;=DATE(2028,4,1),DATE(2028,4,1)&lt;=DATE(2026,11,1))),'Model inputs'!AE12,"")</f>
      </c>
    </row>
    <row r="1234">
      <c r="A1234" t="inlineStr" s="21">
        <is>
          <t xml:space="preserve">Calculation</t>
        </is>
      </c>
      <c r="B1234">
        <f>IF(IF(AND('Model inputs'!C32&lt;=DATE(2028,5,1),DATE(2028,5,1)&lt;=DATE(2026,11,1))="",FALSE,AND('Model inputs'!C32&lt;=DATE(2028,5,1),DATE(2028,5,1)&lt;=DATE(2026,11,1))),'Model inputs'!AF12,"")</f>
      </c>
    </row>
    <row r="1235">
      <c r="A1235" t="inlineStr" s="21">
        <is>
          <t xml:space="preserve">Calculation</t>
        </is>
      </c>
      <c r="B1235">
        <f>IF(IF(AND('Model inputs'!C32&lt;=DATE(2028,6,1),DATE(2028,6,1)&lt;=DATE(2026,11,1))="",FALSE,AND('Model inputs'!C32&lt;=DATE(2028,6,1),DATE(2028,6,1)&lt;=DATE(2026,11,1))),'Model inputs'!AG12,"")</f>
      </c>
    </row>
    <row r="1236">
      <c r="A1236" t="inlineStr" s="21">
        <is>
          <t xml:space="preserve">Calculation</t>
        </is>
      </c>
      <c r="B1236">
        <f>IF(IF(AND('Model inputs'!C32&lt;=DATE(2028,7,1),DATE(2028,7,1)&lt;=DATE(2026,11,1))="",FALSE,AND('Model inputs'!C32&lt;=DATE(2028,7,1),DATE(2028,7,1)&lt;=DATE(2026,11,1))),'Model inputs'!AH12,"")</f>
      </c>
    </row>
    <row r="1237">
      <c r="A1237" t="inlineStr" s="21">
        <is>
          <t xml:space="preserve">Calculation</t>
        </is>
      </c>
      <c r="B1237">
        <f>IF(IF(AND('Model inputs'!C32&lt;=DATE(2028,8,1),DATE(2028,8,1)&lt;=DATE(2026,11,1))="",FALSE,AND('Model inputs'!C32&lt;=DATE(2028,8,1),DATE(2028,8,1)&lt;=DATE(2026,11,1))),'Model inputs'!AI12,"")</f>
      </c>
    </row>
    <row r="1238">
      <c r="A1238" t="inlineStr" s="21">
        <is>
          <t xml:space="preserve">Calculation</t>
        </is>
      </c>
      <c r="B1238">
        <f>IF(IF(AND('Model inputs'!C32&lt;=DATE(2028,9,1),DATE(2028,9,1)&lt;=DATE(2026,11,1))="",FALSE,AND('Model inputs'!C32&lt;=DATE(2028,9,1),DATE(2028,9,1)&lt;=DATE(2026,11,1))),'Model inputs'!AJ12,"")</f>
      </c>
    </row>
    <row r="1239">
      <c r="A1239" t="inlineStr" s="21">
        <is>
          <t xml:space="preserve">Calculation</t>
        </is>
      </c>
      <c r="B1239">
        <f>IF(AND('Model inputs'!B1206="",'Model inputs'!B1207="",'Model inputs'!B1208="",'Model inputs'!B1209="",'Model inputs'!B1210="",'Model inputs'!B1211="",'Model inputs'!B1212="",'Model inputs'!B1213="",'Model inputs'!B1214="",'Model inputs'!B1215="",'Model inputs'!B1216="",'Model inputs'!B1217="",'Model inputs'!B1218="",'Model inputs'!B1219="",'Model inputs'!B1220="",'Model inputs'!B1221="",'Model inputs'!B1222="",'Model inputs'!B1223="",'Model inputs'!B1224="",'Model inputs'!B1225="",'Model inputs'!B1226="",'Model inputs'!B1227="",'Model inputs'!B1228="",'Model inputs'!B1229="",'Model inputs'!B1230="",'Model inputs'!B1231="",'Model inputs'!B1232="",'Model inputs'!B1233="",'Model inputs'!B1234="",'Model inputs'!B1235="",'Model inputs'!B1236="",'Model inputs'!B1237="",'Model inputs'!B1238=""),"",MIN('Model inputs'!B1206,'Model inputs'!B1207,'Model inputs'!B1208,'Model inputs'!B1209,'Model inputs'!B1210,'Model inputs'!B1211,'Model inputs'!B1212,'Model inputs'!B1213,'Model inputs'!B1214,'Model inputs'!B1215,'Model inputs'!B1216,'Model inputs'!B1217,'Model inputs'!B1218,'Model inputs'!B1219,'Model inputs'!B1220,'Model inputs'!B1221,'Model inputs'!B1222,'Model inputs'!B1223,'Model inputs'!B1224,'Model inputs'!B1225,'Model inputs'!B1226,'Model inputs'!B1227,'Model inputs'!B1228,'Model inputs'!B1229,'Model inputs'!B1230,'Model inputs'!B1231,'Model inputs'!B1232,'Model inputs'!B1233,'Model inputs'!B1234,'Model inputs'!B1235,'Model inputs'!B1236,'Model inputs'!B1237,'Model inputs'!B1238))</f>
      </c>
    </row>
    <row r="1240">
      <c r="A1240" t="inlineStr" s="21">
        <is>
          <t xml:space="preserve">Calculation</t>
        </is>
      </c>
      <c r="B1240">
        <f>IF(IF(AND('Model inputs'!C32&lt;=DATE(2026,1,1),DATE(2026,1,1)&lt;=DATE(2026,12,1))="",FALSE,AND('Model inputs'!C32&lt;=DATE(2026,1,1),DATE(2026,1,1)&lt;=DATE(2026,12,1))),'Model inputs'!D12,"")</f>
      </c>
    </row>
    <row r="1241">
      <c r="A1241" t="inlineStr" s="21">
        <is>
          <t xml:space="preserve">Calculation</t>
        </is>
      </c>
      <c r="B1241">
        <f>IF(IF(AND('Model inputs'!C32&lt;=DATE(2026,2,1),DATE(2026,2,1)&lt;=DATE(2026,12,1))="",FALSE,AND('Model inputs'!C32&lt;=DATE(2026,2,1),DATE(2026,2,1)&lt;=DATE(2026,12,1))),'Model inputs'!E12,"")</f>
      </c>
    </row>
    <row r="1242">
      <c r="A1242" t="inlineStr" s="21">
        <is>
          <t xml:space="preserve">Calculation</t>
        </is>
      </c>
      <c r="B1242">
        <f>IF(IF(AND('Model inputs'!C32&lt;=DATE(2026,3,1),DATE(2026,3,1)&lt;=DATE(2026,12,1))="",FALSE,AND('Model inputs'!C32&lt;=DATE(2026,3,1),DATE(2026,3,1)&lt;=DATE(2026,12,1))),'Model inputs'!F12,"")</f>
      </c>
    </row>
    <row r="1243">
      <c r="A1243" t="inlineStr" s="21">
        <is>
          <t xml:space="preserve">Calculation</t>
        </is>
      </c>
      <c r="B1243">
        <f>IF(IF(AND('Model inputs'!C32&lt;=DATE(2026,4,1),DATE(2026,4,1)&lt;=DATE(2026,12,1))="",FALSE,AND('Model inputs'!C32&lt;=DATE(2026,4,1),DATE(2026,4,1)&lt;=DATE(2026,12,1))),'Model inputs'!G12,"")</f>
      </c>
    </row>
    <row r="1244">
      <c r="A1244" t="inlineStr" s="21">
        <is>
          <t xml:space="preserve">Calculation</t>
        </is>
      </c>
      <c r="B1244">
        <f>IF(IF(AND('Model inputs'!C32&lt;=DATE(2026,5,1),DATE(2026,5,1)&lt;=DATE(2026,12,1))="",FALSE,AND('Model inputs'!C32&lt;=DATE(2026,5,1),DATE(2026,5,1)&lt;=DATE(2026,12,1))),'Model inputs'!H12,"")</f>
      </c>
    </row>
    <row r="1245">
      <c r="A1245" t="inlineStr" s="21">
        <is>
          <t xml:space="preserve">Calculation</t>
        </is>
      </c>
      <c r="B1245">
        <f>IF(IF(AND('Model inputs'!C32&lt;=DATE(2026,6,1),DATE(2026,6,1)&lt;=DATE(2026,12,1))="",FALSE,AND('Model inputs'!C32&lt;=DATE(2026,6,1),DATE(2026,6,1)&lt;=DATE(2026,12,1))),'Model inputs'!I12,"")</f>
      </c>
    </row>
    <row r="1246">
      <c r="A1246" t="inlineStr" s="21">
        <is>
          <t xml:space="preserve">Calculation</t>
        </is>
      </c>
      <c r="B1246">
        <f>IF(IF(AND('Model inputs'!C32&lt;=DATE(2026,7,1),DATE(2026,7,1)&lt;=DATE(2026,12,1))="",FALSE,AND('Model inputs'!C32&lt;=DATE(2026,7,1),DATE(2026,7,1)&lt;=DATE(2026,12,1))),'Model inputs'!J12,"")</f>
      </c>
    </row>
    <row r="1247">
      <c r="A1247" t="inlineStr" s="21">
        <is>
          <t xml:space="preserve">Calculation</t>
        </is>
      </c>
      <c r="B1247">
        <f>IF(IF(AND('Model inputs'!C32&lt;=DATE(2026,8,1),DATE(2026,8,1)&lt;=DATE(2026,12,1))="",FALSE,AND('Model inputs'!C32&lt;=DATE(2026,8,1),DATE(2026,8,1)&lt;=DATE(2026,12,1))),'Model inputs'!K12,"")</f>
      </c>
    </row>
    <row r="1248">
      <c r="A1248" t="inlineStr" s="21">
        <is>
          <t xml:space="preserve">Calculation</t>
        </is>
      </c>
      <c r="B1248">
        <f>IF(IF(AND('Model inputs'!C32&lt;=DATE(2026,9,1),DATE(2026,9,1)&lt;=DATE(2026,12,1))="",FALSE,AND('Model inputs'!C32&lt;=DATE(2026,9,1),DATE(2026,9,1)&lt;=DATE(2026,12,1))),'Model inputs'!L12,"")</f>
      </c>
    </row>
    <row r="1249">
      <c r="A1249" t="inlineStr" s="21">
        <is>
          <t xml:space="preserve">Calculation</t>
        </is>
      </c>
      <c r="B1249">
        <f>IF(IF(AND('Model inputs'!C32&lt;=DATE(2026,10,1),DATE(2026,10,1)&lt;=DATE(2026,12,1))="",FALSE,AND('Model inputs'!C32&lt;=DATE(2026,10,1),DATE(2026,10,1)&lt;=DATE(2026,12,1))),'Model inputs'!M12,"")</f>
      </c>
    </row>
    <row r="1250">
      <c r="A1250" t="inlineStr" s="21">
        <is>
          <t xml:space="preserve">Calculation</t>
        </is>
      </c>
      <c r="B1250">
        <f>IF(IF(AND('Model inputs'!C32&lt;=DATE(2026,11,1),DATE(2026,11,1)&lt;=DATE(2026,12,1))="",FALSE,AND('Model inputs'!C32&lt;=DATE(2026,11,1),DATE(2026,11,1)&lt;=DATE(2026,12,1))),'Model inputs'!N12,"")</f>
      </c>
    </row>
    <row r="1251">
      <c r="A1251" t="inlineStr" s="21">
        <is>
          <t xml:space="preserve">Calculation</t>
        </is>
      </c>
      <c r="B1251">
        <f>IF(IF(AND('Model inputs'!C32&lt;=DATE(2026,12,1),DATE(2026,12,1)&lt;=DATE(2026,12,1))="",FALSE,AND('Model inputs'!C32&lt;=DATE(2026,12,1),DATE(2026,12,1)&lt;=DATE(2026,12,1))),'Model inputs'!O12,"")</f>
      </c>
    </row>
    <row r="1252">
      <c r="A1252" t="inlineStr" s="21">
        <is>
          <t xml:space="preserve">Calculation</t>
        </is>
      </c>
      <c r="B1252">
        <f>IF(IF(AND('Model inputs'!C32&lt;=DATE(2027,1,1),DATE(2027,1,1)&lt;=DATE(2026,12,1))="",FALSE,AND('Model inputs'!C32&lt;=DATE(2027,1,1),DATE(2027,1,1)&lt;=DATE(2026,12,1))),'Model inputs'!P12,"")</f>
      </c>
    </row>
    <row r="1253">
      <c r="A1253" t="inlineStr" s="21">
        <is>
          <t xml:space="preserve">Calculation</t>
        </is>
      </c>
      <c r="B1253">
        <f>IF(IF(AND('Model inputs'!C32&lt;=DATE(2027,2,1),DATE(2027,2,1)&lt;=DATE(2026,12,1))="",FALSE,AND('Model inputs'!C32&lt;=DATE(2027,2,1),DATE(2027,2,1)&lt;=DATE(2026,12,1))),'Model inputs'!Q12,"")</f>
      </c>
    </row>
    <row r="1254">
      <c r="A1254" t="inlineStr" s="21">
        <is>
          <t xml:space="preserve">Calculation</t>
        </is>
      </c>
      <c r="B1254">
        <f>IF(IF(AND('Model inputs'!C32&lt;=DATE(2027,3,1),DATE(2027,3,1)&lt;=DATE(2026,12,1))="",FALSE,AND('Model inputs'!C32&lt;=DATE(2027,3,1),DATE(2027,3,1)&lt;=DATE(2026,12,1))),'Model inputs'!R12,"")</f>
      </c>
    </row>
    <row r="1255">
      <c r="A1255" t="inlineStr" s="21">
        <is>
          <t xml:space="preserve">Calculation</t>
        </is>
      </c>
      <c r="B1255">
        <f>IF(IF(AND('Model inputs'!C32&lt;=DATE(2027,4,1),DATE(2027,4,1)&lt;=DATE(2026,12,1))="",FALSE,AND('Model inputs'!C32&lt;=DATE(2027,4,1),DATE(2027,4,1)&lt;=DATE(2026,12,1))),'Model inputs'!S12,"")</f>
      </c>
    </row>
    <row r="1256">
      <c r="A1256" t="inlineStr" s="21">
        <is>
          <t xml:space="preserve">Calculation</t>
        </is>
      </c>
      <c r="B1256">
        <f>IF(IF(AND('Model inputs'!C32&lt;=DATE(2027,5,1),DATE(2027,5,1)&lt;=DATE(2026,12,1))="",FALSE,AND('Model inputs'!C32&lt;=DATE(2027,5,1),DATE(2027,5,1)&lt;=DATE(2026,12,1))),'Model inputs'!T12,"")</f>
      </c>
    </row>
    <row r="1257">
      <c r="A1257" t="inlineStr" s="21">
        <is>
          <t xml:space="preserve">Calculation</t>
        </is>
      </c>
      <c r="B1257">
        <f>IF(IF(AND('Model inputs'!C32&lt;=DATE(2027,6,1),DATE(2027,6,1)&lt;=DATE(2026,12,1))="",FALSE,AND('Model inputs'!C32&lt;=DATE(2027,6,1),DATE(2027,6,1)&lt;=DATE(2026,12,1))),'Model inputs'!U12,"")</f>
      </c>
    </row>
    <row r="1258">
      <c r="A1258" t="inlineStr" s="21">
        <is>
          <t xml:space="preserve">Calculation</t>
        </is>
      </c>
      <c r="B1258">
        <f>IF(IF(AND('Model inputs'!C32&lt;=DATE(2027,7,1),DATE(2027,7,1)&lt;=DATE(2026,12,1))="",FALSE,AND('Model inputs'!C32&lt;=DATE(2027,7,1),DATE(2027,7,1)&lt;=DATE(2026,12,1))),'Model inputs'!V12,"")</f>
      </c>
    </row>
    <row r="1259">
      <c r="A1259" t="inlineStr" s="21">
        <is>
          <t xml:space="preserve">Calculation</t>
        </is>
      </c>
      <c r="B1259">
        <f>IF(IF(AND('Model inputs'!C32&lt;=DATE(2027,8,1),DATE(2027,8,1)&lt;=DATE(2026,12,1))="",FALSE,AND('Model inputs'!C32&lt;=DATE(2027,8,1),DATE(2027,8,1)&lt;=DATE(2026,12,1))),'Model inputs'!W12,"")</f>
      </c>
    </row>
    <row r="1260">
      <c r="A1260" t="inlineStr" s="21">
        <is>
          <t xml:space="preserve">Calculation</t>
        </is>
      </c>
      <c r="B1260">
        <f>IF(IF(AND('Model inputs'!C32&lt;=DATE(2027,9,1),DATE(2027,9,1)&lt;=DATE(2026,12,1))="",FALSE,AND('Model inputs'!C32&lt;=DATE(2027,9,1),DATE(2027,9,1)&lt;=DATE(2026,12,1))),'Model inputs'!X12,"")</f>
      </c>
    </row>
    <row r="1261">
      <c r="A1261" t="inlineStr" s="21">
        <is>
          <t xml:space="preserve">Calculation</t>
        </is>
      </c>
      <c r="B1261">
        <f>IF(IF(AND('Model inputs'!C32&lt;=DATE(2027,10,1),DATE(2027,10,1)&lt;=DATE(2026,12,1))="",FALSE,AND('Model inputs'!C32&lt;=DATE(2027,10,1),DATE(2027,10,1)&lt;=DATE(2026,12,1))),'Model inputs'!Y12,"")</f>
      </c>
    </row>
    <row r="1262">
      <c r="A1262" t="inlineStr" s="21">
        <is>
          <t xml:space="preserve">Calculation</t>
        </is>
      </c>
      <c r="B1262">
        <f>IF(IF(AND('Model inputs'!C32&lt;=DATE(2027,11,1),DATE(2027,11,1)&lt;=DATE(2026,12,1))="",FALSE,AND('Model inputs'!C32&lt;=DATE(2027,11,1),DATE(2027,11,1)&lt;=DATE(2026,12,1))),'Model inputs'!Z12,"")</f>
      </c>
    </row>
    <row r="1263">
      <c r="A1263" t="inlineStr" s="21">
        <is>
          <t xml:space="preserve">Calculation</t>
        </is>
      </c>
      <c r="B1263">
        <f>IF(IF(AND('Model inputs'!C32&lt;=DATE(2027,12,1),DATE(2027,12,1)&lt;=DATE(2026,12,1))="",FALSE,AND('Model inputs'!C32&lt;=DATE(2027,12,1),DATE(2027,12,1)&lt;=DATE(2026,12,1))),'Model inputs'!AA12,"")</f>
      </c>
    </row>
    <row r="1264">
      <c r="A1264" t="inlineStr" s="21">
        <is>
          <t xml:space="preserve">Calculation</t>
        </is>
      </c>
      <c r="B1264">
        <f>IF(IF(AND('Model inputs'!C32&lt;=DATE(2028,1,1),DATE(2028,1,1)&lt;=DATE(2026,12,1))="",FALSE,AND('Model inputs'!C32&lt;=DATE(2028,1,1),DATE(2028,1,1)&lt;=DATE(2026,12,1))),'Model inputs'!AB12,"")</f>
      </c>
    </row>
    <row r="1265">
      <c r="A1265" t="inlineStr" s="21">
        <is>
          <t xml:space="preserve">Calculation</t>
        </is>
      </c>
      <c r="B1265">
        <f>IF(IF(AND('Model inputs'!C32&lt;=DATE(2028,2,1),DATE(2028,2,1)&lt;=DATE(2026,12,1))="",FALSE,AND('Model inputs'!C32&lt;=DATE(2028,2,1),DATE(2028,2,1)&lt;=DATE(2026,12,1))),'Model inputs'!AC12,"")</f>
      </c>
    </row>
    <row r="1266">
      <c r="A1266" t="inlineStr" s="21">
        <is>
          <t xml:space="preserve">Calculation</t>
        </is>
      </c>
      <c r="B1266">
        <f>IF(IF(AND('Model inputs'!C32&lt;=DATE(2028,3,1),DATE(2028,3,1)&lt;=DATE(2026,12,1))="",FALSE,AND('Model inputs'!C32&lt;=DATE(2028,3,1),DATE(2028,3,1)&lt;=DATE(2026,12,1))),'Model inputs'!AD12,"")</f>
      </c>
    </row>
    <row r="1267">
      <c r="A1267" t="inlineStr" s="21">
        <is>
          <t xml:space="preserve">Calculation</t>
        </is>
      </c>
      <c r="B1267">
        <f>IF(IF(AND('Model inputs'!C32&lt;=DATE(2028,4,1),DATE(2028,4,1)&lt;=DATE(2026,12,1))="",FALSE,AND('Model inputs'!C32&lt;=DATE(2028,4,1),DATE(2028,4,1)&lt;=DATE(2026,12,1))),'Model inputs'!AE12,"")</f>
      </c>
    </row>
    <row r="1268">
      <c r="A1268" t="inlineStr" s="21">
        <is>
          <t xml:space="preserve">Calculation</t>
        </is>
      </c>
      <c r="B1268">
        <f>IF(IF(AND('Model inputs'!C32&lt;=DATE(2028,5,1),DATE(2028,5,1)&lt;=DATE(2026,12,1))="",FALSE,AND('Model inputs'!C32&lt;=DATE(2028,5,1),DATE(2028,5,1)&lt;=DATE(2026,12,1))),'Model inputs'!AF12,"")</f>
      </c>
    </row>
    <row r="1269">
      <c r="A1269" t="inlineStr" s="21">
        <is>
          <t xml:space="preserve">Calculation</t>
        </is>
      </c>
      <c r="B1269">
        <f>IF(IF(AND('Model inputs'!C32&lt;=DATE(2028,6,1),DATE(2028,6,1)&lt;=DATE(2026,12,1))="",FALSE,AND('Model inputs'!C32&lt;=DATE(2028,6,1),DATE(2028,6,1)&lt;=DATE(2026,12,1))),'Model inputs'!AG12,"")</f>
      </c>
    </row>
    <row r="1270">
      <c r="A1270" t="inlineStr" s="21">
        <is>
          <t xml:space="preserve">Calculation</t>
        </is>
      </c>
      <c r="B1270">
        <f>IF(IF(AND('Model inputs'!C32&lt;=DATE(2028,7,1),DATE(2028,7,1)&lt;=DATE(2026,12,1))="",FALSE,AND('Model inputs'!C32&lt;=DATE(2028,7,1),DATE(2028,7,1)&lt;=DATE(2026,12,1))),'Model inputs'!AH12,"")</f>
      </c>
    </row>
    <row r="1271">
      <c r="A1271" t="inlineStr" s="21">
        <is>
          <t xml:space="preserve">Calculation</t>
        </is>
      </c>
      <c r="B1271">
        <f>IF(IF(AND('Model inputs'!C32&lt;=DATE(2028,8,1),DATE(2028,8,1)&lt;=DATE(2026,12,1))="",FALSE,AND('Model inputs'!C32&lt;=DATE(2028,8,1),DATE(2028,8,1)&lt;=DATE(2026,12,1))),'Model inputs'!AI12,"")</f>
      </c>
    </row>
    <row r="1272">
      <c r="A1272" t="inlineStr" s="21">
        <is>
          <t xml:space="preserve">Calculation</t>
        </is>
      </c>
      <c r="B1272">
        <f>IF(IF(AND('Model inputs'!C32&lt;=DATE(2028,9,1),DATE(2028,9,1)&lt;=DATE(2026,12,1))="",FALSE,AND('Model inputs'!C32&lt;=DATE(2028,9,1),DATE(2028,9,1)&lt;=DATE(2026,12,1))),'Model inputs'!AJ12,"")</f>
      </c>
    </row>
    <row r="1273">
      <c r="A1273" t="inlineStr" s="21">
        <is>
          <t xml:space="preserve">Calculation</t>
        </is>
      </c>
      <c r="B1273">
        <f>IF(AND('Model inputs'!B1240="",'Model inputs'!B1241="",'Model inputs'!B1242="",'Model inputs'!B1243="",'Model inputs'!B1244="",'Model inputs'!B1245="",'Model inputs'!B1246="",'Model inputs'!B1247="",'Model inputs'!B1248="",'Model inputs'!B1249="",'Model inputs'!B1250="",'Model inputs'!B1251="",'Model inputs'!B1252="",'Model inputs'!B1253="",'Model inputs'!B1254="",'Model inputs'!B1255="",'Model inputs'!B1256="",'Model inputs'!B1257="",'Model inputs'!B1258="",'Model inputs'!B1259="",'Model inputs'!B1260="",'Model inputs'!B1261="",'Model inputs'!B1262="",'Model inputs'!B1263="",'Model inputs'!B1264="",'Model inputs'!B1265="",'Model inputs'!B1266="",'Model inputs'!B1267="",'Model inputs'!B1268="",'Model inputs'!B1269="",'Model inputs'!B1270="",'Model inputs'!B1271="",'Model inputs'!B1272=""),"",MIN('Model inputs'!B1240,'Model inputs'!B1241,'Model inputs'!B1242,'Model inputs'!B1243,'Model inputs'!B1244,'Model inputs'!B1245,'Model inputs'!B1246,'Model inputs'!B1247,'Model inputs'!B1248,'Model inputs'!B1249,'Model inputs'!B1250,'Model inputs'!B1251,'Model inputs'!B1252,'Model inputs'!B1253,'Model inputs'!B1254,'Model inputs'!B1255,'Model inputs'!B1256,'Model inputs'!B1257,'Model inputs'!B1258,'Model inputs'!B1259,'Model inputs'!B1260,'Model inputs'!B1261,'Model inputs'!B1262,'Model inputs'!B1263,'Model inputs'!B1264,'Model inputs'!B1265,'Model inputs'!B1266,'Model inputs'!B1267,'Model inputs'!B1268,'Model inputs'!B1269,'Model inputs'!B1270,'Model inputs'!B1271,'Model inputs'!B1272))</f>
      </c>
    </row>
    <row r="1274">
      <c r="A1274" t="inlineStr" s="21">
        <is>
          <t xml:space="preserve">Calculation</t>
        </is>
      </c>
      <c r="B1274">
        <f>IF(IF(AND('Model inputs'!C32&lt;=DATE(2026,1,1),DATE(2026,1,1)&lt;=DATE(2027,1,1))="",FALSE,AND('Model inputs'!C32&lt;=DATE(2026,1,1),DATE(2026,1,1)&lt;=DATE(2027,1,1))),'Model inputs'!D12,"")</f>
      </c>
    </row>
    <row r="1275">
      <c r="A1275" t="inlineStr" s="21">
        <is>
          <t xml:space="preserve">Calculation</t>
        </is>
      </c>
      <c r="B1275">
        <f>IF(IF(AND('Model inputs'!C32&lt;=DATE(2026,2,1),DATE(2026,2,1)&lt;=DATE(2027,1,1))="",FALSE,AND('Model inputs'!C32&lt;=DATE(2026,2,1),DATE(2026,2,1)&lt;=DATE(2027,1,1))),'Model inputs'!E12,"")</f>
      </c>
    </row>
    <row r="1276">
      <c r="A1276" t="inlineStr" s="21">
        <is>
          <t xml:space="preserve">Calculation</t>
        </is>
      </c>
      <c r="B1276">
        <f>IF(IF(AND('Model inputs'!C32&lt;=DATE(2026,3,1),DATE(2026,3,1)&lt;=DATE(2027,1,1))="",FALSE,AND('Model inputs'!C32&lt;=DATE(2026,3,1),DATE(2026,3,1)&lt;=DATE(2027,1,1))),'Model inputs'!F12,"")</f>
      </c>
    </row>
    <row r="1277">
      <c r="A1277" t="inlineStr" s="21">
        <is>
          <t xml:space="preserve">Calculation</t>
        </is>
      </c>
      <c r="B1277">
        <f>IF(IF(AND('Model inputs'!C32&lt;=DATE(2026,4,1),DATE(2026,4,1)&lt;=DATE(2027,1,1))="",FALSE,AND('Model inputs'!C32&lt;=DATE(2026,4,1),DATE(2026,4,1)&lt;=DATE(2027,1,1))),'Model inputs'!G12,"")</f>
      </c>
    </row>
    <row r="1278">
      <c r="A1278" t="inlineStr" s="21">
        <is>
          <t xml:space="preserve">Calculation</t>
        </is>
      </c>
      <c r="B1278">
        <f>IF(IF(AND('Model inputs'!C32&lt;=DATE(2026,5,1),DATE(2026,5,1)&lt;=DATE(2027,1,1))="",FALSE,AND('Model inputs'!C32&lt;=DATE(2026,5,1),DATE(2026,5,1)&lt;=DATE(2027,1,1))),'Model inputs'!H12,"")</f>
      </c>
    </row>
    <row r="1279">
      <c r="A1279" t="inlineStr" s="21">
        <is>
          <t xml:space="preserve">Calculation</t>
        </is>
      </c>
      <c r="B1279">
        <f>IF(IF(AND('Model inputs'!C32&lt;=DATE(2026,6,1),DATE(2026,6,1)&lt;=DATE(2027,1,1))="",FALSE,AND('Model inputs'!C32&lt;=DATE(2026,6,1),DATE(2026,6,1)&lt;=DATE(2027,1,1))),'Model inputs'!I12,"")</f>
      </c>
    </row>
    <row r="1280">
      <c r="A1280" t="inlineStr" s="21">
        <is>
          <t xml:space="preserve">Calculation</t>
        </is>
      </c>
      <c r="B1280">
        <f>IF(IF(AND('Model inputs'!C32&lt;=DATE(2026,7,1),DATE(2026,7,1)&lt;=DATE(2027,1,1))="",FALSE,AND('Model inputs'!C32&lt;=DATE(2026,7,1),DATE(2026,7,1)&lt;=DATE(2027,1,1))),'Model inputs'!J12,"")</f>
      </c>
    </row>
    <row r="1281">
      <c r="A1281" t="inlineStr" s="21">
        <is>
          <t xml:space="preserve">Calculation</t>
        </is>
      </c>
      <c r="B1281">
        <f>IF(IF(AND('Model inputs'!C32&lt;=DATE(2026,8,1),DATE(2026,8,1)&lt;=DATE(2027,1,1))="",FALSE,AND('Model inputs'!C32&lt;=DATE(2026,8,1),DATE(2026,8,1)&lt;=DATE(2027,1,1))),'Model inputs'!K12,"")</f>
      </c>
    </row>
    <row r="1282">
      <c r="A1282" t="inlineStr" s="21">
        <is>
          <t xml:space="preserve">Calculation</t>
        </is>
      </c>
      <c r="B1282">
        <f>IF(IF(AND('Model inputs'!C32&lt;=DATE(2026,9,1),DATE(2026,9,1)&lt;=DATE(2027,1,1))="",FALSE,AND('Model inputs'!C32&lt;=DATE(2026,9,1),DATE(2026,9,1)&lt;=DATE(2027,1,1))),'Model inputs'!L12,"")</f>
      </c>
    </row>
    <row r="1283">
      <c r="A1283" t="inlineStr" s="21">
        <is>
          <t xml:space="preserve">Calculation</t>
        </is>
      </c>
      <c r="B1283">
        <f>IF(IF(AND('Model inputs'!C32&lt;=DATE(2026,10,1),DATE(2026,10,1)&lt;=DATE(2027,1,1))="",FALSE,AND('Model inputs'!C32&lt;=DATE(2026,10,1),DATE(2026,10,1)&lt;=DATE(2027,1,1))),'Model inputs'!M12,"")</f>
      </c>
    </row>
    <row r="1284">
      <c r="A1284" t="inlineStr" s="21">
        <is>
          <t xml:space="preserve">Calculation</t>
        </is>
      </c>
      <c r="B1284">
        <f>IF(IF(AND('Model inputs'!C32&lt;=DATE(2026,11,1),DATE(2026,11,1)&lt;=DATE(2027,1,1))="",FALSE,AND('Model inputs'!C32&lt;=DATE(2026,11,1),DATE(2026,11,1)&lt;=DATE(2027,1,1))),'Model inputs'!N12,"")</f>
      </c>
    </row>
    <row r="1285">
      <c r="A1285" t="inlineStr" s="21">
        <is>
          <t xml:space="preserve">Calculation</t>
        </is>
      </c>
      <c r="B1285">
        <f>IF(IF(AND('Model inputs'!C32&lt;=DATE(2026,12,1),DATE(2026,12,1)&lt;=DATE(2027,1,1))="",FALSE,AND('Model inputs'!C32&lt;=DATE(2026,12,1),DATE(2026,12,1)&lt;=DATE(2027,1,1))),'Model inputs'!O12,"")</f>
      </c>
    </row>
    <row r="1286">
      <c r="A1286" t="inlineStr" s="21">
        <is>
          <t xml:space="preserve">Calculation</t>
        </is>
      </c>
      <c r="B1286">
        <f>IF(IF(AND('Model inputs'!C32&lt;=DATE(2027,1,1),DATE(2027,1,1)&lt;=DATE(2027,1,1))="",FALSE,AND('Model inputs'!C32&lt;=DATE(2027,1,1),DATE(2027,1,1)&lt;=DATE(2027,1,1))),'Model inputs'!P12,"")</f>
      </c>
    </row>
    <row r="1287">
      <c r="A1287" t="inlineStr" s="21">
        <is>
          <t xml:space="preserve">Calculation</t>
        </is>
      </c>
      <c r="B1287">
        <f>IF(IF(AND('Model inputs'!C32&lt;=DATE(2027,2,1),DATE(2027,2,1)&lt;=DATE(2027,1,1))="",FALSE,AND('Model inputs'!C32&lt;=DATE(2027,2,1),DATE(2027,2,1)&lt;=DATE(2027,1,1))),'Model inputs'!Q12,"")</f>
      </c>
    </row>
    <row r="1288">
      <c r="A1288" t="inlineStr" s="21">
        <is>
          <t xml:space="preserve">Calculation</t>
        </is>
      </c>
      <c r="B1288">
        <f>IF(IF(AND('Model inputs'!C32&lt;=DATE(2027,3,1),DATE(2027,3,1)&lt;=DATE(2027,1,1))="",FALSE,AND('Model inputs'!C32&lt;=DATE(2027,3,1),DATE(2027,3,1)&lt;=DATE(2027,1,1))),'Model inputs'!R12,"")</f>
      </c>
    </row>
    <row r="1289">
      <c r="A1289" t="inlineStr" s="21">
        <is>
          <t xml:space="preserve">Calculation</t>
        </is>
      </c>
      <c r="B1289">
        <f>IF(IF(AND('Model inputs'!C32&lt;=DATE(2027,4,1),DATE(2027,4,1)&lt;=DATE(2027,1,1))="",FALSE,AND('Model inputs'!C32&lt;=DATE(2027,4,1),DATE(2027,4,1)&lt;=DATE(2027,1,1))),'Model inputs'!S12,"")</f>
      </c>
    </row>
    <row r="1290">
      <c r="A1290" t="inlineStr" s="21">
        <is>
          <t xml:space="preserve">Calculation</t>
        </is>
      </c>
      <c r="B1290">
        <f>IF(IF(AND('Model inputs'!C32&lt;=DATE(2027,5,1),DATE(2027,5,1)&lt;=DATE(2027,1,1))="",FALSE,AND('Model inputs'!C32&lt;=DATE(2027,5,1),DATE(2027,5,1)&lt;=DATE(2027,1,1))),'Model inputs'!T12,"")</f>
      </c>
    </row>
    <row r="1291">
      <c r="A1291" t="inlineStr" s="21">
        <is>
          <t xml:space="preserve">Calculation</t>
        </is>
      </c>
      <c r="B1291">
        <f>IF(IF(AND('Model inputs'!C32&lt;=DATE(2027,6,1),DATE(2027,6,1)&lt;=DATE(2027,1,1))="",FALSE,AND('Model inputs'!C32&lt;=DATE(2027,6,1),DATE(2027,6,1)&lt;=DATE(2027,1,1))),'Model inputs'!U12,"")</f>
      </c>
    </row>
    <row r="1292">
      <c r="A1292" t="inlineStr" s="21">
        <is>
          <t xml:space="preserve">Calculation</t>
        </is>
      </c>
      <c r="B1292">
        <f>IF(IF(AND('Model inputs'!C32&lt;=DATE(2027,7,1),DATE(2027,7,1)&lt;=DATE(2027,1,1))="",FALSE,AND('Model inputs'!C32&lt;=DATE(2027,7,1),DATE(2027,7,1)&lt;=DATE(2027,1,1))),'Model inputs'!V12,"")</f>
      </c>
    </row>
    <row r="1293">
      <c r="A1293" t="inlineStr" s="21">
        <is>
          <t xml:space="preserve">Calculation</t>
        </is>
      </c>
      <c r="B1293">
        <f>IF(IF(AND('Model inputs'!C32&lt;=DATE(2027,8,1),DATE(2027,8,1)&lt;=DATE(2027,1,1))="",FALSE,AND('Model inputs'!C32&lt;=DATE(2027,8,1),DATE(2027,8,1)&lt;=DATE(2027,1,1))),'Model inputs'!W12,"")</f>
      </c>
    </row>
    <row r="1294">
      <c r="A1294" t="inlineStr" s="21">
        <is>
          <t xml:space="preserve">Calculation</t>
        </is>
      </c>
      <c r="B1294">
        <f>IF(IF(AND('Model inputs'!C32&lt;=DATE(2027,9,1),DATE(2027,9,1)&lt;=DATE(2027,1,1))="",FALSE,AND('Model inputs'!C32&lt;=DATE(2027,9,1),DATE(2027,9,1)&lt;=DATE(2027,1,1))),'Model inputs'!X12,"")</f>
      </c>
    </row>
    <row r="1295">
      <c r="A1295" t="inlineStr" s="21">
        <is>
          <t xml:space="preserve">Calculation</t>
        </is>
      </c>
      <c r="B1295">
        <f>IF(IF(AND('Model inputs'!C32&lt;=DATE(2027,10,1),DATE(2027,10,1)&lt;=DATE(2027,1,1))="",FALSE,AND('Model inputs'!C32&lt;=DATE(2027,10,1),DATE(2027,10,1)&lt;=DATE(2027,1,1))),'Model inputs'!Y12,"")</f>
      </c>
    </row>
    <row r="1296">
      <c r="A1296" t="inlineStr" s="21">
        <is>
          <t xml:space="preserve">Calculation</t>
        </is>
      </c>
      <c r="B1296">
        <f>IF(IF(AND('Model inputs'!C32&lt;=DATE(2027,11,1),DATE(2027,11,1)&lt;=DATE(2027,1,1))="",FALSE,AND('Model inputs'!C32&lt;=DATE(2027,11,1),DATE(2027,11,1)&lt;=DATE(2027,1,1))),'Model inputs'!Z12,"")</f>
      </c>
    </row>
    <row r="1297">
      <c r="A1297" t="inlineStr" s="21">
        <is>
          <t xml:space="preserve">Calculation</t>
        </is>
      </c>
      <c r="B1297">
        <f>IF(IF(AND('Model inputs'!C32&lt;=DATE(2027,12,1),DATE(2027,12,1)&lt;=DATE(2027,1,1))="",FALSE,AND('Model inputs'!C32&lt;=DATE(2027,12,1),DATE(2027,12,1)&lt;=DATE(2027,1,1))),'Model inputs'!AA12,"")</f>
      </c>
    </row>
    <row r="1298">
      <c r="A1298" t="inlineStr" s="21">
        <is>
          <t xml:space="preserve">Calculation</t>
        </is>
      </c>
      <c r="B1298">
        <f>IF(IF(AND('Model inputs'!C32&lt;=DATE(2028,1,1),DATE(2028,1,1)&lt;=DATE(2027,1,1))="",FALSE,AND('Model inputs'!C32&lt;=DATE(2028,1,1),DATE(2028,1,1)&lt;=DATE(2027,1,1))),'Model inputs'!AB12,"")</f>
      </c>
    </row>
    <row r="1299">
      <c r="A1299" t="inlineStr" s="21">
        <is>
          <t xml:space="preserve">Calculation</t>
        </is>
      </c>
      <c r="B1299">
        <f>IF(IF(AND('Model inputs'!C32&lt;=DATE(2028,2,1),DATE(2028,2,1)&lt;=DATE(2027,1,1))="",FALSE,AND('Model inputs'!C32&lt;=DATE(2028,2,1),DATE(2028,2,1)&lt;=DATE(2027,1,1))),'Model inputs'!AC12,"")</f>
      </c>
    </row>
    <row r="1300">
      <c r="A1300" t="inlineStr" s="21">
        <is>
          <t xml:space="preserve">Calculation</t>
        </is>
      </c>
      <c r="B1300">
        <f>IF(IF(AND('Model inputs'!C32&lt;=DATE(2028,3,1),DATE(2028,3,1)&lt;=DATE(2027,1,1))="",FALSE,AND('Model inputs'!C32&lt;=DATE(2028,3,1),DATE(2028,3,1)&lt;=DATE(2027,1,1))),'Model inputs'!AD12,"")</f>
      </c>
    </row>
    <row r="1301">
      <c r="A1301" t="inlineStr" s="21">
        <is>
          <t xml:space="preserve">Calculation</t>
        </is>
      </c>
      <c r="B1301">
        <f>IF(IF(AND('Model inputs'!C32&lt;=DATE(2028,4,1),DATE(2028,4,1)&lt;=DATE(2027,1,1))="",FALSE,AND('Model inputs'!C32&lt;=DATE(2028,4,1),DATE(2028,4,1)&lt;=DATE(2027,1,1))),'Model inputs'!AE12,"")</f>
      </c>
    </row>
    <row r="1302">
      <c r="A1302" t="inlineStr" s="21">
        <is>
          <t xml:space="preserve">Calculation</t>
        </is>
      </c>
      <c r="B1302">
        <f>IF(IF(AND('Model inputs'!C32&lt;=DATE(2028,5,1),DATE(2028,5,1)&lt;=DATE(2027,1,1))="",FALSE,AND('Model inputs'!C32&lt;=DATE(2028,5,1),DATE(2028,5,1)&lt;=DATE(2027,1,1))),'Model inputs'!AF12,"")</f>
      </c>
    </row>
    <row r="1303">
      <c r="A1303" t="inlineStr" s="21">
        <is>
          <t xml:space="preserve">Calculation</t>
        </is>
      </c>
      <c r="B1303">
        <f>IF(IF(AND('Model inputs'!C32&lt;=DATE(2028,6,1),DATE(2028,6,1)&lt;=DATE(2027,1,1))="",FALSE,AND('Model inputs'!C32&lt;=DATE(2028,6,1),DATE(2028,6,1)&lt;=DATE(2027,1,1))),'Model inputs'!AG12,"")</f>
      </c>
    </row>
    <row r="1304">
      <c r="A1304" t="inlineStr" s="21">
        <is>
          <t xml:space="preserve">Calculation</t>
        </is>
      </c>
      <c r="B1304">
        <f>IF(IF(AND('Model inputs'!C32&lt;=DATE(2028,7,1),DATE(2028,7,1)&lt;=DATE(2027,1,1))="",FALSE,AND('Model inputs'!C32&lt;=DATE(2028,7,1),DATE(2028,7,1)&lt;=DATE(2027,1,1))),'Model inputs'!AH12,"")</f>
      </c>
    </row>
    <row r="1305">
      <c r="A1305" t="inlineStr" s="21">
        <is>
          <t xml:space="preserve">Calculation</t>
        </is>
      </c>
      <c r="B1305">
        <f>IF(IF(AND('Model inputs'!C32&lt;=DATE(2028,8,1),DATE(2028,8,1)&lt;=DATE(2027,1,1))="",FALSE,AND('Model inputs'!C32&lt;=DATE(2028,8,1),DATE(2028,8,1)&lt;=DATE(2027,1,1))),'Model inputs'!AI12,"")</f>
      </c>
    </row>
    <row r="1306">
      <c r="A1306" t="inlineStr" s="21">
        <is>
          <t xml:space="preserve">Calculation</t>
        </is>
      </c>
      <c r="B1306">
        <f>IF(IF(AND('Model inputs'!C32&lt;=DATE(2028,9,1),DATE(2028,9,1)&lt;=DATE(2027,1,1))="",FALSE,AND('Model inputs'!C32&lt;=DATE(2028,9,1),DATE(2028,9,1)&lt;=DATE(2027,1,1))),'Model inputs'!AJ12,"")</f>
      </c>
    </row>
    <row r="1307">
      <c r="A1307" t="inlineStr" s="21">
        <is>
          <t xml:space="preserve">Calculation</t>
        </is>
      </c>
      <c r="B1307">
        <f>IF(AND('Model inputs'!B1274="",'Model inputs'!B1275="",'Model inputs'!B1276="",'Model inputs'!B1277="",'Model inputs'!B1278="",'Model inputs'!B1279="",'Model inputs'!B1280="",'Model inputs'!B1281="",'Model inputs'!B1282="",'Model inputs'!B1283="",'Model inputs'!B1284="",'Model inputs'!B1285="",'Model inputs'!B1286="",'Model inputs'!B1287="",'Model inputs'!B1288="",'Model inputs'!B1289="",'Model inputs'!B1290="",'Model inputs'!B1291="",'Model inputs'!B1292="",'Model inputs'!B1293="",'Model inputs'!B1294="",'Model inputs'!B1295="",'Model inputs'!B1296="",'Model inputs'!B1297="",'Model inputs'!B1298="",'Model inputs'!B1299="",'Model inputs'!B1300="",'Model inputs'!B1301="",'Model inputs'!B1302="",'Model inputs'!B1303="",'Model inputs'!B1304="",'Model inputs'!B1305="",'Model inputs'!B1306=""),"",MIN('Model inputs'!B1274,'Model inputs'!B1275,'Model inputs'!B1276,'Model inputs'!B1277,'Model inputs'!B1278,'Model inputs'!B1279,'Model inputs'!B1280,'Model inputs'!B1281,'Model inputs'!B1282,'Model inputs'!B1283,'Model inputs'!B1284,'Model inputs'!B1285,'Model inputs'!B1286,'Model inputs'!B1287,'Model inputs'!B1288,'Model inputs'!B1289,'Model inputs'!B1290,'Model inputs'!B1291,'Model inputs'!B1292,'Model inputs'!B1293,'Model inputs'!B1294,'Model inputs'!B1295,'Model inputs'!B1296,'Model inputs'!B1297,'Model inputs'!B1298,'Model inputs'!B1299,'Model inputs'!B1300,'Model inputs'!B1301,'Model inputs'!B1302,'Model inputs'!B1303,'Model inputs'!B1304,'Model inputs'!B1305,'Model inputs'!B1306))</f>
      </c>
    </row>
    <row r="1308">
      <c r="A1308" t="inlineStr" s="21">
        <is>
          <t xml:space="preserve">Calculation</t>
        </is>
      </c>
      <c r="B1308">
        <f>IF(IF(AND('Model inputs'!C32&lt;=DATE(2026,1,1),DATE(2026,1,1)&lt;=DATE(2027,2,1))="",FALSE,AND('Model inputs'!C32&lt;=DATE(2026,1,1),DATE(2026,1,1)&lt;=DATE(2027,2,1))),'Model inputs'!D12,"")</f>
      </c>
    </row>
    <row r="1309">
      <c r="A1309" t="inlineStr" s="21">
        <is>
          <t xml:space="preserve">Calculation</t>
        </is>
      </c>
      <c r="B1309">
        <f>IF(IF(AND('Model inputs'!C32&lt;=DATE(2026,2,1),DATE(2026,2,1)&lt;=DATE(2027,2,1))="",FALSE,AND('Model inputs'!C32&lt;=DATE(2026,2,1),DATE(2026,2,1)&lt;=DATE(2027,2,1))),'Model inputs'!E12,"")</f>
      </c>
    </row>
    <row r="1310">
      <c r="A1310" t="inlineStr" s="21">
        <is>
          <t xml:space="preserve">Calculation</t>
        </is>
      </c>
      <c r="B1310">
        <f>IF(IF(AND('Model inputs'!C32&lt;=DATE(2026,3,1),DATE(2026,3,1)&lt;=DATE(2027,2,1))="",FALSE,AND('Model inputs'!C32&lt;=DATE(2026,3,1),DATE(2026,3,1)&lt;=DATE(2027,2,1))),'Model inputs'!F12,"")</f>
      </c>
    </row>
    <row r="1311">
      <c r="A1311" t="inlineStr" s="21">
        <is>
          <t xml:space="preserve">Calculation</t>
        </is>
      </c>
      <c r="B1311">
        <f>IF(IF(AND('Model inputs'!C32&lt;=DATE(2026,4,1),DATE(2026,4,1)&lt;=DATE(2027,2,1))="",FALSE,AND('Model inputs'!C32&lt;=DATE(2026,4,1),DATE(2026,4,1)&lt;=DATE(2027,2,1))),'Model inputs'!G12,"")</f>
      </c>
    </row>
    <row r="1312">
      <c r="A1312" t="inlineStr" s="21">
        <is>
          <t xml:space="preserve">Calculation</t>
        </is>
      </c>
      <c r="B1312">
        <f>IF(IF(AND('Model inputs'!C32&lt;=DATE(2026,5,1),DATE(2026,5,1)&lt;=DATE(2027,2,1))="",FALSE,AND('Model inputs'!C32&lt;=DATE(2026,5,1),DATE(2026,5,1)&lt;=DATE(2027,2,1))),'Model inputs'!H12,"")</f>
      </c>
    </row>
    <row r="1313">
      <c r="A1313" t="inlineStr" s="21">
        <is>
          <t xml:space="preserve">Calculation</t>
        </is>
      </c>
      <c r="B1313">
        <f>IF(IF(AND('Model inputs'!C32&lt;=DATE(2026,6,1),DATE(2026,6,1)&lt;=DATE(2027,2,1))="",FALSE,AND('Model inputs'!C32&lt;=DATE(2026,6,1),DATE(2026,6,1)&lt;=DATE(2027,2,1))),'Model inputs'!I12,"")</f>
      </c>
    </row>
    <row r="1314">
      <c r="A1314" t="inlineStr" s="21">
        <is>
          <t xml:space="preserve">Calculation</t>
        </is>
      </c>
      <c r="B1314">
        <f>IF(IF(AND('Model inputs'!C32&lt;=DATE(2026,7,1),DATE(2026,7,1)&lt;=DATE(2027,2,1))="",FALSE,AND('Model inputs'!C32&lt;=DATE(2026,7,1),DATE(2026,7,1)&lt;=DATE(2027,2,1))),'Model inputs'!J12,"")</f>
      </c>
    </row>
    <row r="1315">
      <c r="A1315" t="inlineStr" s="21">
        <is>
          <t xml:space="preserve">Calculation</t>
        </is>
      </c>
      <c r="B1315">
        <f>IF(IF(AND('Model inputs'!C32&lt;=DATE(2026,8,1),DATE(2026,8,1)&lt;=DATE(2027,2,1))="",FALSE,AND('Model inputs'!C32&lt;=DATE(2026,8,1),DATE(2026,8,1)&lt;=DATE(2027,2,1))),'Model inputs'!K12,"")</f>
      </c>
    </row>
    <row r="1316">
      <c r="A1316" t="inlineStr" s="21">
        <is>
          <t xml:space="preserve">Calculation</t>
        </is>
      </c>
      <c r="B1316">
        <f>IF(IF(AND('Model inputs'!C32&lt;=DATE(2026,9,1),DATE(2026,9,1)&lt;=DATE(2027,2,1))="",FALSE,AND('Model inputs'!C32&lt;=DATE(2026,9,1),DATE(2026,9,1)&lt;=DATE(2027,2,1))),'Model inputs'!L12,"")</f>
      </c>
    </row>
    <row r="1317">
      <c r="A1317" t="inlineStr" s="21">
        <is>
          <t xml:space="preserve">Calculation</t>
        </is>
      </c>
      <c r="B1317">
        <f>IF(IF(AND('Model inputs'!C32&lt;=DATE(2026,10,1),DATE(2026,10,1)&lt;=DATE(2027,2,1))="",FALSE,AND('Model inputs'!C32&lt;=DATE(2026,10,1),DATE(2026,10,1)&lt;=DATE(2027,2,1))),'Model inputs'!M12,"")</f>
      </c>
    </row>
    <row r="1318">
      <c r="A1318" t="inlineStr" s="21">
        <is>
          <t xml:space="preserve">Calculation</t>
        </is>
      </c>
      <c r="B1318">
        <f>IF(IF(AND('Model inputs'!C32&lt;=DATE(2026,11,1),DATE(2026,11,1)&lt;=DATE(2027,2,1))="",FALSE,AND('Model inputs'!C32&lt;=DATE(2026,11,1),DATE(2026,11,1)&lt;=DATE(2027,2,1))),'Model inputs'!N12,"")</f>
      </c>
    </row>
    <row r="1319">
      <c r="A1319" t="inlineStr" s="21">
        <is>
          <t xml:space="preserve">Calculation</t>
        </is>
      </c>
      <c r="B1319">
        <f>IF(IF(AND('Model inputs'!C32&lt;=DATE(2026,12,1),DATE(2026,12,1)&lt;=DATE(2027,2,1))="",FALSE,AND('Model inputs'!C32&lt;=DATE(2026,12,1),DATE(2026,12,1)&lt;=DATE(2027,2,1))),'Model inputs'!O12,"")</f>
      </c>
    </row>
    <row r="1320">
      <c r="A1320" t="inlineStr" s="21">
        <is>
          <t xml:space="preserve">Calculation</t>
        </is>
      </c>
      <c r="B1320">
        <f>IF(IF(AND('Model inputs'!C32&lt;=DATE(2027,1,1),DATE(2027,1,1)&lt;=DATE(2027,2,1))="",FALSE,AND('Model inputs'!C32&lt;=DATE(2027,1,1),DATE(2027,1,1)&lt;=DATE(2027,2,1))),'Model inputs'!P12,"")</f>
      </c>
    </row>
    <row r="1321">
      <c r="A1321" t="inlineStr" s="21">
        <is>
          <t xml:space="preserve">Calculation</t>
        </is>
      </c>
      <c r="B1321">
        <f>IF(IF(AND('Model inputs'!C32&lt;=DATE(2027,2,1),DATE(2027,2,1)&lt;=DATE(2027,2,1))="",FALSE,AND('Model inputs'!C32&lt;=DATE(2027,2,1),DATE(2027,2,1)&lt;=DATE(2027,2,1))),'Model inputs'!Q12,"")</f>
      </c>
    </row>
    <row r="1322">
      <c r="A1322" t="inlineStr" s="21">
        <is>
          <t xml:space="preserve">Calculation</t>
        </is>
      </c>
      <c r="B1322">
        <f>IF(IF(AND('Model inputs'!C32&lt;=DATE(2027,3,1),DATE(2027,3,1)&lt;=DATE(2027,2,1))="",FALSE,AND('Model inputs'!C32&lt;=DATE(2027,3,1),DATE(2027,3,1)&lt;=DATE(2027,2,1))),'Model inputs'!R12,"")</f>
      </c>
    </row>
    <row r="1323">
      <c r="A1323" t="inlineStr" s="21">
        <is>
          <t xml:space="preserve">Calculation</t>
        </is>
      </c>
      <c r="B1323">
        <f>IF(IF(AND('Model inputs'!C32&lt;=DATE(2027,4,1),DATE(2027,4,1)&lt;=DATE(2027,2,1))="",FALSE,AND('Model inputs'!C32&lt;=DATE(2027,4,1),DATE(2027,4,1)&lt;=DATE(2027,2,1))),'Model inputs'!S12,"")</f>
      </c>
    </row>
    <row r="1324">
      <c r="A1324" t="inlineStr" s="21">
        <is>
          <t xml:space="preserve">Calculation</t>
        </is>
      </c>
      <c r="B1324">
        <f>IF(IF(AND('Model inputs'!C32&lt;=DATE(2027,5,1),DATE(2027,5,1)&lt;=DATE(2027,2,1))="",FALSE,AND('Model inputs'!C32&lt;=DATE(2027,5,1),DATE(2027,5,1)&lt;=DATE(2027,2,1))),'Model inputs'!T12,"")</f>
      </c>
    </row>
    <row r="1325">
      <c r="A1325" t="inlineStr" s="21">
        <is>
          <t xml:space="preserve">Calculation</t>
        </is>
      </c>
      <c r="B1325">
        <f>IF(IF(AND('Model inputs'!C32&lt;=DATE(2027,6,1),DATE(2027,6,1)&lt;=DATE(2027,2,1))="",FALSE,AND('Model inputs'!C32&lt;=DATE(2027,6,1),DATE(2027,6,1)&lt;=DATE(2027,2,1))),'Model inputs'!U12,"")</f>
      </c>
    </row>
    <row r="1326">
      <c r="A1326" t="inlineStr" s="21">
        <is>
          <t xml:space="preserve">Calculation</t>
        </is>
      </c>
      <c r="B1326">
        <f>IF(IF(AND('Model inputs'!C32&lt;=DATE(2027,7,1),DATE(2027,7,1)&lt;=DATE(2027,2,1))="",FALSE,AND('Model inputs'!C32&lt;=DATE(2027,7,1),DATE(2027,7,1)&lt;=DATE(2027,2,1))),'Model inputs'!V12,"")</f>
      </c>
    </row>
    <row r="1327">
      <c r="A1327" t="inlineStr" s="21">
        <is>
          <t xml:space="preserve">Calculation</t>
        </is>
      </c>
      <c r="B1327">
        <f>IF(IF(AND('Model inputs'!C32&lt;=DATE(2027,8,1),DATE(2027,8,1)&lt;=DATE(2027,2,1))="",FALSE,AND('Model inputs'!C32&lt;=DATE(2027,8,1),DATE(2027,8,1)&lt;=DATE(2027,2,1))),'Model inputs'!W12,"")</f>
      </c>
    </row>
    <row r="1328">
      <c r="A1328" t="inlineStr" s="21">
        <is>
          <t xml:space="preserve">Calculation</t>
        </is>
      </c>
      <c r="B1328">
        <f>IF(IF(AND('Model inputs'!C32&lt;=DATE(2027,9,1),DATE(2027,9,1)&lt;=DATE(2027,2,1))="",FALSE,AND('Model inputs'!C32&lt;=DATE(2027,9,1),DATE(2027,9,1)&lt;=DATE(2027,2,1))),'Model inputs'!X12,"")</f>
      </c>
    </row>
    <row r="1329">
      <c r="A1329" t="inlineStr" s="21">
        <is>
          <t xml:space="preserve">Calculation</t>
        </is>
      </c>
      <c r="B1329">
        <f>IF(IF(AND('Model inputs'!C32&lt;=DATE(2027,10,1),DATE(2027,10,1)&lt;=DATE(2027,2,1))="",FALSE,AND('Model inputs'!C32&lt;=DATE(2027,10,1),DATE(2027,10,1)&lt;=DATE(2027,2,1))),'Model inputs'!Y12,"")</f>
      </c>
    </row>
    <row r="1330">
      <c r="A1330" t="inlineStr" s="21">
        <is>
          <t xml:space="preserve">Calculation</t>
        </is>
      </c>
      <c r="B1330">
        <f>IF(IF(AND('Model inputs'!C32&lt;=DATE(2027,11,1),DATE(2027,11,1)&lt;=DATE(2027,2,1))="",FALSE,AND('Model inputs'!C32&lt;=DATE(2027,11,1),DATE(2027,11,1)&lt;=DATE(2027,2,1))),'Model inputs'!Z12,"")</f>
      </c>
    </row>
    <row r="1331">
      <c r="A1331" t="inlineStr" s="21">
        <is>
          <t xml:space="preserve">Calculation</t>
        </is>
      </c>
      <c r="B1331">
        <f>IF(IF(AND('Model inputs'!C32&lt;=DATE(2027,12,1),DATE(2027,12,1)&lt;=DATE(2027,2,1))="",FALSE,AND('Model inputs'!C32&lt;=DATE(2027,12,1),DATE(2027,12,1)&lt;=DATE(2027,2,1))),'Model inputs'!AA12,"")</f>
      </c>
    </row>
    <row r="1332">
      <c r="A1332" t="inlineStr" s="21">
        <is>
          <t xml:space="preserve">Calculation</t>
        </is>
      </c>
      <c r="B1332">
        <f>IF(IF(AND('Model inputs'!C32&lt;=DATE(2028,1,1),DATE(2028,1,1)&lt;=DATE(2027,2,1))="",FALSE,AND('Model inputs'!C32&lt;=DATE(2028,1,1),DATE(2028,1,1)&lt;=DATE(2027,2,1))),'Model inputs'!AB12,"")</f>
      </c>
    </row>
    <row r="1333">
      <c r="A1333" t="inlineStr" s="21">
        <is>
          <t xml:space="preserve">Calculation</t>
        </is>
      </c>
      <c r="B1333">
        <f>IF(IF(AND('Model inputs'!C32&lt;=DATE(2028,2,1),DATE(2028,2,1)&lt;=DATE(2027,2,1))="",FALSE,AND('Model inputs'!C32&lt;=DATE(2028,2,1),DATE(2028,2,1)&lt;=DATE(2027,2,1))),'Model inputs'!AC12,"")</f>
      </c>
    </row>
    <row r="1334">
      <c r="A1334" t="inlineStr" s="21">
        <is>
          <t xml:space="preserve">Calculation</t>
        </is>
      </c>
      <c r="B1334">
        <f>IF(IF(AND('Model inputs'!C32&lt;=DATE(2028,3,1),DATE(2028,3,1)&lt;=DATE(2027,2,1))="",FALSE,AND('Model inputs'!C32&lt;=DATE(2028,3,1),DATE(2028,3,1)&lt;=DATE(2027,2,1))),'Model inputs'!AD12,"")</f>
      </c>
    </row>
    <row r="1335">
      <c r="A1335" t="inlineStr" s="21">
        <is>
          <t xml:space="preserve">Calculation</t>
        </is>
      </c>
      <c r="B1335">
        <f>IF(IF(AND('Model inputs'!C32&lt;=DATE(2028,4,1),DATE(2028,4,1)&lt;=DATE(2027,2,1))="",FALSE,AND('Model inputs'!C32&lt;=DATE(2028,4,1),DATE(2028,4,1)&lt;=DATE(2027,2,1))),'Model inputs'!AE12,"")</f>
      </c>
    </row>
    <row r="1336">
      <c r="A1336" t="inlineStr" s="21">
        <is>
          <t xml:space="preserve">Calculation</t>
        </is>
      </c>
      <c r="B1336">
        <f>IF(IF(AND('Model inputs'!C32&lt;=DATE(2028,5,1),DATE(2028,5,1)&lt;=DATE(2027,2,1))="",FALSE,AND('Model inputs'!C32&lt;=DATE(2028,5,1),DATE(2028,5,1)&lt;=DATE(2027,2,1))),'Model inputs'!AF12,"")</f>
      </c>
    </row>
    <row r="1337">
      <c r="A1337" t="inlineStr" s="21">
        <is>
          <t xml:space="preserve">Calculation</t>
        </is>
      </c>
      <c r="B1337">
        <f>IF(IF(AND('Model inputs'!C32&lt;=DATE(2028,6,1),DATE(2028,6,1)&lt;=DATE(2027,2,1))="",FALSE,AND('Model inputs'!C32&lt;=DATE(2028,6,1),DATE(2028,6,1)&lt;=DATE(2027,2,1))),'Model inputs'!AG12,"")</f>
      </c>
    </row>
    <row r="1338">
      <c r="A1338" t="inlineStr" s="21">
        <is>
          <t xml:space="preserve">Calculation</t>
        </is>
      </c>
      <c r="B1338">
        <f>IF(IF(AND('Model inputs'!C32&lt;=DATE(2028,7,1),DATE(2028,7,1)&lt;=DATE(2027,2,1))="",FALSE,AND('Model inputs'!C32&lt;=DATE(2028,7,1),DATE(2028,7,1)&lt;=DATE(2027,2,1))),'Model inputs'!AH12,"")</f>
      </c>
    </row>
    <row r="1339">
      <c r="A1339" t="inlineStr" s="21">
        <is>
          <t xml:space="preserve">Calculation</t>
        </is>
      </c>
      <c r="B1339">
        <f>IF(IF(AND('Model inputs'!C32&lt;=DATE(2028,8,1),DATE(2028,8,1)&lt;=DATE(2027,2,1))="",FALSE,AND('Model inputs'!C32&lt;=DATE(2028,8,1),DATE(2028,8,1)&lt;=DATE(2027,2,1))),'Model inputs'!AI12,"")</f>
      </c>
    </row>
    <row r="1340">
      <c r="A1340" t="inlineStr" s="21">
        <is>
          <t xml:space="preserve">Calculation</t>
        </is>
      </c>
      <c r="B1340">
        <f>IF(IF(AND('Model inputs'!C32&lt;=DATE(2028,9,1),DATE(2028,9,1)&lt;=DATE(2027,2,1))="",FALSE,AND('Model inputs'!C32&lt;=DATE(2028,9,1),DATE(2028,9,1)&lt;=DATE(2027,2,1))),'Model inputs'!AJ12,"")</f>
      </c>
    </row>
    <row r="1341">
      <c r="A1341" t="inlineStr" s="21">
        <is>
          <t xml:space="preserve">Calculation</t>
        </is>
      </c>
      <c r="B1341">
        <f>IF(AND('Model inputs'!B1308="",'Model inputs'!B1309="",'Model inputs'!B1310="",'Model inputs'!B1311="",'Model inputs'!B1312="",'Model inputs'!B1313="",'Model inputs'!B1314="",'Model inputs'!B1315="",'Model inputs'!B1316="",'Model inputs'!B1317="",'Model inputs'!B1318="",'Model inputs'!B1319="",'Model inputs'!B1320="",'Model inputs'!B1321="",'Model inputs'!B1322="",'Model inputs'!B1323="",'Model inputs'!B1324="",'Model inputs'!B1325="",'Model inputs'!B1326="",'Model inputs'!B1327="",'Model inputs'!B1328="",'Model inputs'!B1329="",'Model inputs'!B1330="",'Model inputs'!B1331="",'Model inputs'!B1332="",'Model inputs'!B1333="",'Model inputs'!B1334="",'Model inputs'!B1335="",'Model inputs'!B1336="",'Model inputs'!B1337="",'Model inputs'!B1338="",'Model inputs'!B1339="",'Model inputs'!B1340=""),"",MIN('Model inputs'!B1308,'Model inputs'!B1309,'Model inputs'!B1310,'Model inputs'!B1311,'Model inputs'!B1312,'Model inputs'!B1313,'Model inputs'!B1314,'Model inputs'!B1315,'Model inputs'!B1316,'Model inputs'!B1317,'Model inputs'!B1318,'Model inputs'!B1319,'Model inputs'!B1320,'Model inputs'!B1321,'Model inputs'!B1322,'Model inputs'!B1323,'Model inputs'!B1324,'Model inputs'!B1325,'Model inputs'!B1326,'Model inputs'!B1327,'Model inputs'!B1328,'Model inputs'!B1329,'Model inputs'!B1330,'Model inputs'!B1331,'Model inputs'!B1332,'Model inputs'!B1333,'Model inputs'!B1334,'Model inputs'!B1335,'Model inputs'!B1336,'Model inputs'!B1337,'Model inputs'!B1338,'Model inputs'!B1339,'Model inputs'!B1340))</f>
      </c>
    </row>
    <row r="1342">
      <c r="A1342" t="inlineStr" s="21">
        <is>
          <t xml:space="preserve">Calculation</t>
        </is>
      </c>
      <c r="B1342">
        <f>IF(IF(AND('Model inputs'!C32&lt;=DATE(2026,1,1),DATE(2026,1,1)&lt;=DATE(2027,3,1))="",FALSE,AND('Model inputs'!C32&lt;=DATE(2026,1,1),DATE(2026,1,1)&lt;=DATE(2027,3,1))),'Model inputs'!D12,"")</f>
      </c>
    </row>
    <row r="1343">
      <c r="A1343" t="inlineStr" s="21">
        <is>
          <t xml:space="preserve">Calculation</t>
        </is>
      </c>
      <c r="B1343">
        <f>IF(IF(AND('Model inputs'!C32&lt;=DATE(2026,2,1),DATE(2026,2,1)&lt;=DATE(2027,3,1))="",FALSE,AND('Model inputs'!C32&lt;=DATE(2026,2,1),DATE(2026,2,1)&lt;=DATE(2027,3,1))),'Model inputs'!E12,"")</f>
      </c>
    </row>
    <row r="1344">
      <c r="A1344" t="inlineStr" s="21">
        <is>
          <t xml:space="preserve">Calculation</t>
        </is>
      </c>
      <c r="B1344">
        <f>IF(IF(AND('Model inputs'!C32&lt;=DATE(2026,3,1),DATE(2026,3,1)&lt;=DATE(2027,3,1))="",FALSE,AND('Model inputs'!C32&lt;=DATE(2026,3,1),DATE(2026,3,1)&lt;=DATE(2027,3,1))),'Model inputs'!F12,"")</f>
      </c>
    </row>
    <row r="1345">
      <c r="A1345" t="inlineStr" s="21">
        <is>
          <t xml:space="preserve">Calculation</t>
        </is>
      </c>
      <c r="B1345">
        <f>IF(IF(AND('Model inputs'!C32&lt;=DATE(2026,4,1),DATE(2026,4,1)&lt;=DATE(2027,3,1))="",FALSE,AND('Model inputs'!C32&lt;=DATE(2026,4,1),DATE(2026,4,1)&lt;=DATE(2027,3,1))),'Model inputs'!G12,"")</f>
      </c>
    </row>
    <row r="1346">
      <c r="A1346" t="inlineStr" s="21">
        <is>
          <t xml:space="preserve">Calculation</t>
        </is>
      </c>
      <c r="B1346">
        <f>IF(IF(AND('Model inputs'!C32&lt;=DATE(2026,5,1),DATE(2026,5,1)&lt;=DATE(2027,3,1))="",FALSE,AND('Model inputs'!C32&lt;=DATE(2026,5,1),DATE(2026,5,1)&lt;=DATE(2027,3,1))),'Model inputs'!H12,"")</f>
      </c>
    </row>
    <row r="1347">
      <c r="A1347" t="inlineStr" s="21">
        <is>
          <t xml:space="preserve">Calculation</t>
        </is>
      </c>
      <c r="B1347">
        <f>IF(IF(AND('Model inputs'!C32&lt;=DATE(2026,6,1),DATE(2026,6,1)&lt;=DATE(2027,3,1))="",FALSE,AND('Model inputs'!C32&lt;=DATE(2026,6,1),DATE(2026,6,1)&lt;=DATE(2027,3,1))),'Model inputs'!I12,"")</f>
      </c>
    </row>
    <row r="1348">
      <c r="A1348" t="inlineStr" s="21">
        <is>
          <t xml:space="preserve">Calculation</t>
        </is>
      </c>
      <c r="B1348">
        <f>IF(IF(AND('Model inputs'!C32&lt;=DATE(2026,7,1),DATE(2026,7,1)&lt;=DATE(2027,3,1))="",FALSE,AND('Model inputs'!C32&lt;=DATE(2026,7,1),DATE(2026,7,1)&lt;=DATE(2027,3,1))),'Model inputs'!J12,"")</f>
      </c>
    </row>
    <row r="1349">
      <c r="A1349" t="inlineStr" s="21">
        <is>
          <t xml:space="preserve">Calculation</t>
        </is>
      </c>
      <c r="B1349">
        <f>IF(IF(AND('Model inputs'!C32&lt;=DATE(2026,8,1),DATE(2026,8,1)&lt;=DATE(2027,3,1))="",FALSE,AND('Model inputs'!C32&lt;=DATE(2026,8,1),DATE(2026,8,1)&lt;=DATE(2027,3,1))),'Model inputs'!K12,"")</f>
      </c>
    </row>
    <row r="1350">
      <c r="A1350" t="inlineStr" s="21">
        <is>
          <t xml:space="preserve">Calculation</t>
        </is>
      </c>
      <c r="B1350">
        <f>IF(IF(AND('Model inputs'!C32&lt;=DATE(2026,9,1),DATE(2026,9,1)&lt;=DATE(2027,3,1))="",FALSE,AND('Model inputs'!C32&lt;=DATE(2026,9,1),DATE(2026,9,1)&lt;=DATE(2027,3,1))),'Model inputs'!L12,"")</f>
      </c>
    </row>
    <row r="1351">
      <c r="A1351" t="inlineStr" s="21">
        <is>
          <t xml:space="preserve">Calculation</t>
        </is>
      </c>
      <c r="B1351">
        <f>IF(IF(AND('Model inputs'!C32&lt;=DATE(2026,10,1),DATE(2026,10,1)&lt;=DATE(2027,3,1))="",FALSE,AND('Model inputs'!C32&lt;=DATE(2026,10,1),DATE(2026,10,1)&lt;=DATE(2027,3,1))),'Model inputs'!M12,"")</f>
      </c>
    </row>
    <row r="1352">
      <c r="A1352" t="inlineStr" s="21">
        <is>
          <t xml:space="preserve">Calculation</t>
        </is>
      </c>
      <c r="B1352">
        <f>IF(IF(AND('Model inputs'!C32&lt;=DATE(2026,11,1),DATE(2026,11,1)&lt;=DATE(2027,3,1))="",FALSE,AND('Model inputs'!C32&lt;=DATE(2026,11,1),DATE(2026,11,1)&lt;=DATE(2027,3,1))),'Model inputs'!N12,"")</f>
      </c>
    </row>
    <row r="1353">
      <c r="A1353" t="inlineStr" s="21">
        <is>
          <t xml:space="preserve">Calculation</t>
        </is>
      </c>
      <c r="B1353">
        <f>IF(IF(AND('Model inputs'!C32&lt;=DATE(2026,12,1),DATE(2026,12,1)&lt;=DATE(2027,3,1))="",FALSE,AND('Model inputs'!C32&lt;=DATE(2026,12,1),DATE(2026,12,1)&lt;=DATE(2027,3,1))),'Model inputs'!O12,"")</f>
      </c>
    </row>
    <row r="1354">
      <c r="A1354" t="inlineStr" s="21">
        <is>
          <t xml:space="preserve">Calculation</t>
        </is>
      </c>
      <c r="B1354">
        <f>IF(IF(AND('Model inputs'!C32&lt;=DATE(2027,1,1),DATE(2027,1,1)&lt;=DATE(2027,3,1))="",FALSE,AND('Model inputs'!C32&lt;=DATE(2027,1,1),DATE(2027,1,1)&lt;=DATE(2027,3,1))),'Model inputs'!P12,"")</f>
      </c>
    </row>
    <row r="1355">
      <c r="A1355" t="inlineStr" s="21">
        <is>
          <t xml:space="preserve">Calculation</t>
        </is>
      </c>
      <c r="B1355">
        <f>IF(IF(AND('Model inputs'!C32&lt;=DATE(2027,2,1),DATE(2027,2,1)&lt;=DATE(2027,3,1))="",FALSE,AND('Model inputs'!C32&lt;=DATE(2027,2,1),DATE(2027,2,1)&lt;=DATE(2027,3,1))),'Model inputs'!Q12,"")</f>
      </c>
    </row>
    <row r="1356">
      <c r="A1356" t="inlineStr" s="21">
        <is>
          <t xml:space="preserve">Calculation</t>
        </is>
      </c>
      <c r="B1356">
        <f>IF(IF(AND('Model inputs'!C32&lt;=DATE(2027,3,1),DATE(2027,3,1)&lt;=DATE(2027,3,1))="",FALSE,AND('Model inputs'!C32&lt;=DATE(2027,3,1),DATE(2027,3,1)&lt;=DATE(2027,3,1))),'Model inputs'!R12,"")</f>
      </c>
    </row>
    <row r="1357">
      <c r="A1357" t="inlineStr" s="21">
        <is>
          <t xml:space="preserve">Calculation</t>
        </is>
      </c>
      <c r="B1357">
        <f>IF(IF(AND('Model inputs'!C32&lt;=DATE(2027,4,1),DATE(2027,4,1)&lt;=DATE(2027,3,1))="",FALSE,AND('Model inputs'!C32&lt;=DATE(2027,4,1),DATE(2027,4,1)&lt;=DATE(2027,3,1))),'Model inputs'!S12,"")</f>
      </c>
    </row>
    <row r="1358">
      <c r="A1358" t="inlineStr" s="21">
        <is>
          <t xml:space="preserve">Calculation</t>
        </is>
      </c>
      <c r="B1358">
        <f>IF(IF(AND('Model inputs'!C32&lt;=DATE(2027,5,1),DATE(2027,5,1)&lt;=DATE(2027,3,1))="",FALSE,AND('Model inputs'!C32&lt;=DATE(2027,5,1),DATE(2027,5,1)&lt;=DATE(2027,3,1))),'Model inputs'!T12,"")</f>
      </c>
    </row>
    <row r="1359">
      <c r="A1359" t="inlineStr" s="21">
        <is>
          <t xml:space="preserve">Calculation</t>
        </is>
      </c>
      <c r="B1359">
        <f>IF(IF(AND('Model inputs'!C32&lt;=DATE(2027,6,1),DATE(2027,6,1)&lt;=DATE(2027,3,1))="",FALSE,AND('Model inputs'!C32&lt;=DATE(2027,6,1),DATE(2027,6,1)&lt;=DATE(2027,3,1))),'Model inputs'!U12,"")</f>
      </c>
    </row>
    <row r="1360">
      <c r="A1360" t="inlineStr" s="21">
        <is>
          <t xml:space="preserve">Calculation</t>
        </is>
      </c>
      <c r="B1360">
        <f>IF(IF(AND('Model inputs'!C32&lt;=DATE(2027,7,1),DATE(2027,7,1)&lt;=DATE(2027,3,1))="",FALSE,AND('Model inputs'!C32&lt;=DATE(2027,7,1),DATE(2027,7,1)&lt;=DATE(2027,3,1))),'Model inputs'!V12,"")</f>
      </c>
    </row>
    <row r="1361">
      <c r="A1361" t="inlineStr" s="21">
        <is>
          <t xml:space="preserve">Calculation</t>
        </is>
      </c>
      <c r="B1361">
        <f>IF(IF(AND('Model inputs'!C32&lt;=DATE(2027,8,1),DATE(2027,8,1)&lt;=DATE(2027,3,1))="",FALSE,AND('Model inputs'!C32&lt;=DATE(2027,8,1),DATE(2027,8,1)&lt;=DATE(2027,3,1))),'Model inputs'!W12,"")</f>
      </c>
    </row>
    <row r="1362">
      <c r="A1362" t="inlineStr" s="21">
        <is>
          <t xml:space="preserve">Calculation</t>
        </is>
      </c>
      <c r="B1362">
        <f>IF(IF(AND('Model inputs'!C32&lt;=DATE(2027,9,1),DATE(2027,9,1)&lt;=DATE(2027,3,1))="",FALSE,AND('Model inputs'!C32&lt;=DATE(2027,9,1),DATE(2027,9,1)&lt;=DATE(2027,3,1))),'Model inputs'!X12,"")</f>
      </c>
    </row>
    <row r="1363">
      <c r="A1363" t="inlineStr" s="21">
        <is>
          <t xml:space="preserve">Calculation</t>
        </is>
      </c>
      <c r="B1363">
        <f>IF(IF(AND('Model inputs'!C32&lt;=DATE(2027,10,1),DATE(2027,10,1)&lt;=DATE(2027,3,1))="",FALSE,AND('Model inputs'!C32&lt;=DATE(2027,10,1),DATE(2027,10,1)&lt;=DATE(2027,3,1))),'Model inputs'!Y12,"")</f>
      </c>
    </row>
    <row r="1364">
      <c r="A1364" t="inlineStr" s="21">
        <is>
          <t xml:space="preserve">Calculation</t>
        </is>
      </c>
      <c r="B1364">
        <f>IF(IF(AND('Model inputs'!C32&lt;=DATE(2027,11,1),DATE(2027,11,1)&lt;=DATE(2027,3,1))="",FALSE,AND('Model inputs'!C32&lt;=DATE(2027,11,1),DATE(2027,11,1)&lt;=DATE(2027,3,1))),'Model inputs'!Z12,"")</f>
      </c>
    </row>
    <row r="1365">
      <c r="A1365" t="inlineStr" s="21">
        <is>
          <t xml:space="preserve">Calculation</t>
        </is>
      </c>
      <c r="B1365">
        <f>IF(IF(AND('Model inputs'!C32&lt;=DATE(2027,12,1),DATE(2027,12,1)&lt;=DATE(2027,3,1))="",FALSE,AND('Model inputs'!C32&lt;=DATE(2027,12,1),DATE(2027,12,1)&lt;=DATE(2027,3,1))),'Model inputs'!AA12,"")</f>
      </c>
    </row>
    <row r="1366">
      <c r="A1366" t="inlineStr" s="21">
        <is>
          <t xml:space="preserve">Calculation</t>
        </is>
      </c>
      <c r="B1366">
        <f>IF(IF(AND('Model inputs'!C32&lt;=DATE(2028,1,1),DATE(2028,1,1)&lt;=DATE(2027,3,1))="",FALSE,AND('Model inputs'!C32&lt;=DATE(2028,1,1),DATE(2028,1,1)&lt;=DATE(2027,3,1))),'Model inputs'!AB12,"")</f>
      </c>
    </row>
    <row r="1367">
      <c r="A1367" t="inlineStr" s="21">
        <is>
          <t xml:space="preserve">Calculation</t>
        </is>
      </c>
      <c r="B1367">
        <f>IF(IF(AND('Model inputs'!C32&lt;=DATE(2028,2,1),DATE(2028,2,1)&lt;=DATE(2027,3,1))="",FALSE,AND('Model inputs'!C32&lt;=DATE(2028,2,1),DATE(2028,2,1)&lt;=DATE(2027,3,1))),'Model inputs'!AC12,"")</f>
      </c>
    </row>
    <row r="1368">
      <c r="A1368" t="inlineStr" s="21">
        <is>
          <t xml:space="preserve">Calculation</t>
        </is>
      </c>
      <c r="B1368">
        <f>IF(IF(AND('Model inputs'!C32&lt;=DATE(2028,3,1),DATE(2028,3,1)&lt;=DATE(2027,3,1))="",FALSE,AND('Model inputs'!C32&lt;=DATE(2028,3,1),DATE(2028,3,1)&lt;=DATE(2027,3,1))),'Model inputs'!AD12,"")</f>
      </c>
    </row>
    <row r="1369">
      <c r="A1369" t="inlineStr" s="21">
        <is>
          <t xml:space="preserve">Calculation</t>
        </is>
      </c>
      <c r="B1369">
        <f>IF(IF(AND('Model inputs'!C32&lt;=DATE(2028,4,1),DATE(2028,4,1)&lt;=DATE(2027,3,1))="",FALSE,AND('Model inputs'!C32&lt;=DATE(2028,4,1),DATE(2028,4,1)&lt;=DATE(2027,3,1))),'Model inputs'!AE12,"")</f>
      </c>
    </row>
    <row r="1370">
      <c r="A1370" t="inlineStr" s="21">
        <is>
          <t xml:space="preserve">Calculation</t>
        </is>
      </c>
      <c r="B1370">
        <f>IF(IF(AND('Model inputs'!C32&lt;=DATE(2028,5,1),DATE(2028,5,1)&lt;=DATE(2027,3,1))="",FALSE,AND('Model inputs'!C32&lt;=DATE(2028,5,1),DATE(2028,5,1)&lt;=DATE(2027,3,1))),'Model inputs'!AF12,"")</f>
      </c>
    </row>
    <row r="1371">
      <c r="A1371" t="inlineStr" s="21">
        <is>
          <t xml:space="preserve">Calculation</t>
        </is>
      </c>
      <c r="B1371">
        <f>IF(IF(AND('Model inputs'!C32&lt;=DATE(2028,6,1),DATE(2028,6,1)&lt;=DATE(2027,3,1))="",FALSE,AND('Model inputs'!C32&lt;=DATE(2028,6,1),DATE(2028,6,1)&lt;=DATE(2027,3,1))),'Model inputs'!AG12,"")</f>
      </c>
    </row>
    <row r="1372">
      <c r="A1372" t="inlineStr" s="21">
        <is>
          <t xml:space="preserve">Calculation</t>
        </is>
      </c>
      <c r="B1372">
        <f>IF(IF(AND('Model inputs'!C32&lt;=DATE(2028,7,1),DATE(2028,7,1)&lt;=DATE(2027,3,1))="",FALSE,AND('Model inputs'!C32&lt;=DATE(2028,7,1),DATE(2028,7,1)&lt;=DATE(2027,3,1))),'Model inputs'!AH12,"")</f>
      </c>
    </row>
    <row r="1373">
      <c r="A1373" t="inlineStr" s="21">
        <is>
          <t xml:space="preserve">Calculation</t>
        </is>
      </c>
      <c r="B1373">
        <f>IF(IF(AND('Model inputs'!C32&lt;=DATE(2028,8,1),DATE(2028,8,1)&lt;=DATE(2027,3,1))="",FALSE,AND('Model inputs'!C32&lt;=DATE(2028,8,1),DATE(2028,8,1)&lt;=DATE(2027,3,1))),'Model inputs'!AI12,"")</f>
      </c>
    </row>
    <row r="1374">
      <c r="A1374" t="inlineStr" s="21">
        <is>
          <t xml:space="preserve">Calculation</t>
        </is>
      </c>
      <c r="B1374">
        <f>IF(IF(AND('Model inputs'!C32&lt;=DATE(2028,9,1),DATE(2028,9,1)&lt;=DATE(2027,3,1))="",FALSE,AND('Model inputs'!C32&lt;=DATE(2028,9,1),DATE(2028,9,1)&lt;=DATE(2027,3,1))),'Model inputs'!AJ12,"")</f>
      </c>
    </row>
    <row r="1375">
      <c r="A1375" t="inlineStr" s="21">
        <is>
          <t xml:space="preserve">Calculation</t>
        </is>
      </c>
      <c r="B1375">
        <f>IF(AND('Model inputs'!B1342="",'Model inputs'!B1343="",'Model inputs'!B1344="",'Model inputs'!B1345="",'Model inputs'!B1346="",'Model inputs'!B1347="",'Model inputs'!B1348="",'Model inputs'!B1349="",'Model inputs'!B1350="",'Model inputs'!B1351="",'Model inputs'!B1352="",'Model inputs'!B1353="",'Model inputs'!B1354="",'Model inputs'!B1355="",'Model inputs'!B1356="",'Model inputs'!B1357="",'Model inputs'!B1358="",'Model inputs'!B1359="",'Model inputs'!B1360="",'Model inputs'!B1361="",'Model inputs'!B1362="",'Model inputs'!B1363="",'Model inputs'!B1364="",'Model inputs'!B1365="",'Model inputs'!B1366="",'Model inputs'!B1367="",'Model inputs'!B1368="",'Model inputs'!B1369="",'Model inputs'!B1370="",'Model inputs'!B1371="",'Model inputs'!B1372="",'Model inputs'!B1373="",'Model inputs'!B1374=""),"",MIN('Model inputs'!B1342,'Model inputs'!B1343,'Model inputs'!B1344,'Model inputs'!B1345,'Model inputs'!B1346,'Model inputs'!B1347,'Model inputs'!B1348,'Model inputs'!B1349,'Model inputs'!B1350,'Model inputs'!B1351,'Model inputs'!B1352,'Model inputs'!B1353,'Model inputs'!B1354,'Model inputs'!B1355,'Model inputs'!B1356,'Model inputs'!B1357,'Model inputs'!B1358,'Model inputs'!B1359,'Model inputs'!B1360,'Model inputs'!B1361,'Model inputs'!B1362,'Model inputs'!B1363,'Model inputs'!B1364,'Model inputs'!B1365,'Model inputs'!B1366,'Model inputs'!B1367,'Model inputs'!B1368,'Model inputs'!B1369,'Model inputs'!B1370,'Model inputs'!B1371,'Model inputs'!B1372,'Model inputs'!B1373,'Model inputs'!B1374))</f>
      </c>
    </row>
    <row r="1376">
      <c r="A1376" t="inlineStr" s="21">
        <is>
          <t xml:space="preserve">Calculation</t>
        </is>
      </c>
      <c r="B1376">
        <f>IF(IF(AND('Model inputs'!C32&lt;=DATE(2026,1,1),DATE(2026,1,1)&lt;=DATE(2027,4,1))="",FALSE,AND('Model inputs'!C32&lt;=DATE(2026,1,1),DATE(2026,1,1)&lt;=DATE(2027,4,1))),'Model inputs'!D12,"")</f>
      </c>
    </row>
    <row r="1377">
      <c r="A1377" t="inlineStr" s="21">
        <is>
          <t xml:space="preserve">Calculation</t>
        </is>
      </c>
      <c r="B1377">
        <f>IF(IF(AND('Model inputs'!C32&lt;=DATE(2026,2,1),DATE(2026,2,1)&lt;=DATE(2027,4,1))="",FALSE,AND('Model inputs'!C32&lt;=DATE(2026,2,1),DATE(2026,2,1)&lt;=DATE(2027,4,1))),'Model inputs'!E12,"")</f>
      </c>
    </row>
    <row r="1378">
      <c r="A1378" t="inlineStr" s="21">
        <is>
          <t xml:space="preserve">Calculation</t>
        </is>
      </c>
      <c r="B1378">
        <f>IF(IF(AND('Model inputs'!C32&lt;=DATE(2026,3,1),DATE(2026,3,1)&lt;=DATE(2027,4,1))="",FALSE,AND('Model inputs'!C32&lt;=DATE(2026,3,1),DATE(2026,3,1)&lt;=DATE(2027,4,1))),'Model inputs'!F12,"")</f>
      </c>
    </row>
    <row r="1379">
      <c r="A1379" t="inlineStr" s="21">
        <is>
          <t xml:space="preserve">Calculation</t>
        </is>
      </c>
      <c r="B1379">
        <f>IF(IF(AND('Model inputs'!C32&lt;=DATE(2026,4,1),DATE(2026,4,1)&lt;=DATE(2027,4,1))="",FALSE,AND('Model inputs'!C32&lt;=DATE(2026,4,1),DATE(2026,4,1)&lt;=DATE(2027,4,1))),'Model inputs'!G12,"")</f>
      </c>
    </row>
    <row r="1380">
      <c r="A1380" t="inlineStr" s="21">
        <is>
          <t xml:space="preserve">Calculation</t>
        </is>
      </c>
      <c r="B1380">
        <f>IF(IF(AND('Model inputs'!C32&lt;=DATE(2026,5,1),DATE(2026,5,1)&lt;=DATE(2027,4,1))="",FALSE,AND('Model inputs'!C32&lt;=DATE(2026,5,1),DATE(2026,5,1)&lt;=DATE(2027,4,1))),'Model inputs'!H12,"")</f>
      </c>
    </row>
    <row r="1381">
      <c r="A1381" t="inlineStr" s="21">
        <is>
          <t xml:space="preserve">Calculation</t>
        </is>
      </c>
      <c r="B1381">
        <f>IF(IF(AND('Model inputs'!C32&lt;=DATE(2026,6,1),DATE(2026,6,1)&lt;=DATE(2027,4,1))="",FALSE,AND('Model inputs'!C32&lt;=DATE(2026,6,1),DATE(2026,6,1)&lt;=DATE(2027,4,1))),'Model inputs'!I12,"")</f>
      </c>
    </row>
    <row r="1382">
      <c r="A1382" t="inlineStr" s="21">
        <is>
          <t xml:space="preserve">Calculation</t>
        </is>
      </c>
      <c r="B1382">
        <f>IF(IF(AND('Model inputs'!C32&lt;=DATE(2026,7,1),DATE(2026,7,1)&lt;=DATE(2027,4,1))="",FALSE,AND('Model inputs'!C32&lt;=DATE(2026,7,1),DATE(2026,7,1)&lt;=DATE(2027,4,1))),'Model inputs'!J12,"")</f>
      </c>
    </row>
    <row r="1383">
      <c r="A1383" t="inlineStr" s="21">
        <is>
          <t xml:space="preserve">Calculation</t>
        </is>
      </c>
      <c r="B1383">
        <f>IF(IF(AND('Model inputs'!C32&lt;=DATE(2026,8,1),DATE(2026,8,1)&lt;=DATE(2027,4,1))="",FALSE,AND('Model inputs'!C32&lt;=DATE(2026,8,1),DATE(2026,8,1)&lt;=DATE(2027,4,1))),'Model inputs'!K12,"")</f>
      </c>
    </row>
    <row r="1384">
      <c r="A1384" t="inlineStr" s="21">
        <is>
          <t xml:space="preserve">Calculation</t>
        </is>
      </c>
      <c r="B1384">
        <f>IF(IF(AND('Model inputs'!C32&lt;=DATE(2026,9,1),DATE(2026,9,1)&lt;=DATE(2027,4,1))="",FALSE,AND('Model inputs'!C32&lt;=DATE(2026,9,1),DATE(2026,9,1)&lt;=DATE(2027,4,1))),'Model inputs'!L12,"")</f>
      </c>
    </row>
    <row r="1385">
      <c r="A1385" t="inlineStr" s="21">
        <is>
          <t xml:space="preserve">Calculation</t>
        </is>
      </c>
      <c r="B1385">
        <f>IF(IF(AND('Model inputs'!C32&lt;=DATE(2026,10,1),DATE(2026,10,1)&lt;=DATE(2027,4,1))="",FALSE,AND('Model inputs'!C32&lt;=DATE(2026,10,1),DATE(2026,10,1)&lt;=DATE(2027,4,1))),'Model inputs'!M12,"")</f>
      </c>
    </row>
    <row r="1386">
      <c r="A1386" t="inlineStr" s="21">
        <is>
          <t xml:space="preserve">Calculation</t>
        </is>
      </c>
      <c r="B1386">
        <f>IF(IF(AND('Model inputs'!C32&lt;=DATE(2026,11,1),DATE(2026,11,1)&lt;=DATE(2027,4,1))="",FALSE,AND('Model inputs'!C32&lt;=DATE(2026,11,1),DATE(2026,11,1)&lt;=DATE(2027,4,1))),'Model inputs'!N12,"")</f>
      </c>
    </row>
    <row r="1387">
      <c r="A1387" t="inlineStr" s="21">
        <is>
          <t xml:space="preserve">Calculation</t>
        </is>
      </c>
      <c r="B1387">
        <f>IF(IF(AND('Model inputs'!C32&lt;=DATE(2026,12,1),DATE(2026,12,1)&lt;=DATE(2027,4,1))="",FALSE,AND('Model inputs'!C32&lt;=DATE(2026,12,1),DATE(2026,12,1)&lt;=DATE(2027,4,1))),'Model inputs'!O12,"")</f>
      </c>
    </row>
    <row r="1388">
      <c r="A1388" t="inlineStr" s="21">
        <is>
          <t xml:space="preserve">Calculation</t>
        </is>
      </c>
      <c r="B1388">
        <f>IF(IF(AND('Model inputs'!C32&lt;=DATE(2027,1,1),DATE(2027,1,1)&lt;=DATE(2027,4,1))="",FALSE,AND('Model inputs'!C32&lt;=DATE(2027,1,1),DATE(2027,1,1)&lt;=DATE(2027,4,1))),'Model inputs'!P12,"")</f>
      </c>
    </row>
    <row r="1389">
      <c r="A1389" t="inlineStr" s="21">
        <is>
          <t xml:space="preserve">Calculation</t>
        </is>
      </c>
      <c r="B1389">
        <f>IF(IF(AND('Model inputs'!C32&lt;=DATE(2027,2,1),DATE(2027,2,1)&lt;=DATE(2027,4,1))="",FALSE,AND('Model inputs'!C32&lt;=DATE(2027,2,1),DATE(2027,2,1)&lt;=DATE(2027,4,1))),'Model inputs'!Q12,"")</f>
      </c>
    </row>
    <row r="1390">
      <c r="A1390" t="inlineStr" s="21">
        <is>
          <t xml:space="preserve">Calculation</t>
        </is>
      </c>
      <c r="B1390">
        <f>IF(IF(AND('Model inputs'!C32&lt;=DATE(2027,3,1),DATE(2027,3,1)&lt;=DATE(2027,4,1))="",FALSE,AND('Model inputs'!C32&lt;=DATE(2027,3,1),DATE(2027,3,1)&lt;=DATE(2027,4,1))),'Model inputs'!R12,"")</f>
      </c>
    </row>
    <row r="1391">
      <c r="A1391" t="inlineStr" s="21">
        <is>
          <t xml:space="preserve">Calculation</t>
        </is>
      </c>
      <c r="B1391">
        <f>IF(IF(AND('Model inputs'!C32&lt;=DATE(2027,4,1),DATE(2027,4,1)&lt;=DATE(2027,4,1))="",FALSE,AND('Model inputs'!C32&lt;=DATE(2027,4,1),DATE(2027,4,1)&lt;=DATE(2027,4,1))),'Model inputs'!S12,"")</f>
      </c>
    </row>
    <row r="1392">
      <c r="A1392" t="inlineStr" s="21">
        <is>
          <t xml:space="preserve">Calculation</t>
        </is>
      </c>
      <c r="B1392">
        <f>IF(IF(AND('Model inputs'!C32&lt;=DATE(2027,5,1),DATE(2027,5,1)&lt;=DATE(2027,4,1))="",FALSE,AND('Model inputs'!C32&lt;=DATE(2027,5,1),DATE(2027,5,1)&lt;=DATE(2027,4,1))),'Model inputs'!T12,"")</f>
      </c>
    </row>
    <row r="1393">
      <c r="A1393" t="inlineStr" s="21">
        <is>
          <t xml:space="preserve">Calculation</t>
        </is>
      </c>
      <c r="B1393">
        <f>IF(IF(AND('Model inputs'!C32&lt;=DATE(2027,6,1),DATE(2027,6,1)&lt;=DATE(2027,4,1))="",FALSE,AND('Model inputs'!C32&lt;=DATE(2027,6,1),DATE(2027,6,1)&lt;=DATE(2027,4,1))),'Model inputs'!U12,"")</f>
      </c>
    </row>
    <row r="1394">
      <c r="A1394" t="inlineStr" s="21">
        <is>
          <t xml:space="preserve">Calculation</t>
        </is>
      </c>
      <c r="B1394">
        <f>IF(IF(AND('Model inputs'!C32&lt;=DATE(2027,7,1),DATE(2027,7,1)&lt;=DATE(2027,4,1))="",FALSE,AND('Model inputs'!C32&lt;=DATE(2027,7,1),DATE(2027,7,1)&lt;=DATE(2027,4,1))),'Model inputs'!V12,"")</f>
      </c>
    </row>
    <row r="1395">
      <c r="A1395" t="inlineStr" s="21">
        <is>
          <t xml:space="preserve">Calculation</t>
        </is>
      </c>
      <c r="B1395">
        <f>IF(IF(AND('Model inputs'!C32&lt;=DATE(2027,8,1),DATE(2027,8,1)&lt;=DATE(2027,4,1))="",FALSE,AND('Model inputs'!C32&lt;=DATE(2027,8,1),DATE(2027,8,1)&lt;=DATE(2027,4,1))),'Model inputs'!W12,"")</f>
      </c>
    </row>
    <row r="1396">
      <c r="A1396" t="inlineStr" s="21">
        <is>
          <t xml:space="preserve">Calculation</t>
        </is>
      </c>
      <c r="B1396">
        <f>IF(IF(AND('Model inputs'!C32&lt;=DATE(2027,9,1),DATE(2027,9,1)&lt;=DATE(2027,4,1))="",FALSE,AND('Model inputs'!C32&lt;=DATE(2027,9,1),DATE(2027,9,1)&lt;=DATE(2027,4,1))),'Model inputs'!X12,"")</f>
      </c>
    </row>
    <row r="1397">
      <c r="A1397" t="inlineStr" s="21">
        <is>
          <t xml:space="preserve">Calculation</t>
        </is>
      </c>
      <c r="B1397">
        <f>IF(IF(AND('Model inputs'!C32&lt;=DATE(2027,10,1),DATE(2027,10,1)&lt;=DATE(2027,4,1))="",FALSE,AND('Model inputs'!C32&lt;=DATE(2027,10,1),DATE(2027,10,1)&lt;=DATE(2027,4,1))),'Model inputs'!Y12,"")</f>
      </c>
    </row>
    <row r="1398">
      <c r="A1398" t="inlineStr" s="21">
        <is>
          <t xml:space="preserve">Calculation</t>
        </is>
      </c>
      <c r="B1398">
        <f>IF(IF(AND('Model inputs'!C32&lt;=DATE(2027,11,1),DATE(2027,11,1)&lt;=DATE(2027,4,1))="",FALSE,AND('Model inputs'!C32&lt;=DATE(2027,11,1),DATE(2027,11,1)&lt;=DATE(2027,4,1))),'Model inputs'!Z12,"")</f>
      </c>
    </row>
    <row r="1399">
      <c r="A1399" t="inlineStr" s="21">
        <is>
          <t xml:space="preserve">Calculation</t>
        </is>
      </c>
      <c r="B1399">
        <f>IF(IF(AND('Model inputs'!C32&lt;=DATE(2027,12,1),DATE(2027,12,1)&lt;=DATE(2027,4,1))="",FALSE,AND('Model inputs'!C32&lt;=DATE(2027,12,1),DATE(2027,12,1)&lt;=DATE(2027,4,1))),'Model inputs'!AA12,"")</f>
      </c>
    </row>
    <row r="1400">
      <c r="A1400" t="inlineStr" s="21">
        <is>
          <t xml:space="preserve">Calculation</t>
        </is>
      </c>
      <c r="B1400">
        <f>IF(IF(AND('Model inputs'!C32&lt;=DATE(2028,1,1),DATE(2028,1,1)&lt;=DATE(2027,4,1))="",FALSE,AND('Model inputs'!C32&lt;=DATE(2028,1,1),DATE(2028,1,1)&lt;=DATE(2027,4,1))),'Model inputs'!AB12,"")</f>
      </c>
    </row>
    <row r="1401">
      <c r="A1401" t="inlineStr" s="21">
        <is>
          <t xml:space="preserve">Calculation</t>
        </is>
      </c>
      <c r="B1401">
        <f>IF(IF(AND('Model inputs'!C32&lt;=DATE(2028,2,1),DATE(2028,2,1)&lt;=DATE(2027,4,1))="",FALSE,AND('Model inputs'!C32&lt;=DATE(2028,2,1),DATE(2028,2,1)&lt;=DATE(2027,4,1))),'Model inputs'!AC12,"")</f>
      </c>
    </row>
    <row r="1402">
      <c r="A1402" t="inlineStr" s="21">
        <is>
          <t xml:space="preserve">Calculation</t>
        </is>
      </c>
      <c r="B1402">
        <f>IF(IF(AND('Model inputs'!C32&lt;=DATE(2028,3,1),DATE(2028,3,1)&lt;=DATE(2027,4,1))="",FALSE,AND('Model inputs'!C32&lt;=DATE(2028,3,1),DATE(2028,3,1)&lt;=DATE(2027,4,1))),'Model inputs'!AD12,"")</f>
      </c>
    </row>
    <row r="1403">
      <c r="A1403" t="inlineStr" s="21">
        <is>
          <t xml:space="preserve">Calculation</t>
        </is>
      </c>
      <c r="B1403">
        <f>IF(IF(AND('Model inputs'!C32&lt;=DATE(2028,4,1),DATE(2028,4,1)&lt;=DATE(2027,4,1))="",FALSE,AND('Model inputs'!C32&lt;=DATE(2028,4,1),DATE(2028,4,1)&lt;=DATE(2027,4,1))),'Model inputs'!AE12,"")</f>
      </c>
    </row>
    <row r="1404">
      <c r="A1404" t="inlineStr" s="21">
        <is>
          <t xml:space="preserve">Calculation</t>
        </is>
      </c>
      <c r="B1404">
        <f>IF(IF(AND('Model inputs'!C32&lt;=DATE(2028,5,1),DATE(2028,5,1)&lt;=DATE(2027,4,1))="",FALSE,AND('Model inputs'!C32&lt;=DATE(2028,5,1),DATE(2028,5,1)&lt;=DATE(2027,4,1))),'Model inputs'!AF12,"")</f>
      </c>
    </row>
    <row r="1405">
      <c r="A1405" t="inlineStr" s="21">
        <is>
          <t xml:space="preserve">Calculation</t>
        </is>
      </c>
      <c r="B1405">
        <f>IF(IF(AND('Model inputs'!C32&lt;=DATE(2028,6,1),DATE(2028,6,1)&lt;=DATE(2027,4,1))="",FALSE,AND('Model inputs'!C32&lt;=DATE(2028,6,1),DATE(2028,6,1)&lt;=DATE(2027,4,1))),'Model inputs'!AG12,"")</f>
      </c>
    </row>
    <row r="1406">
      <c r="A1406" t="inlineStr" s="21">
        <is>
          <t xml:space="preserve">Calculation</t>
        </is>
      </c>
      <c r="B1406">
        <f>IF(IF(AND('Model inputs'!C32&lt;=DATE(2028,7,1),DATE(2028,7,1)&lt;=DATE(2027,4,1))="",FALSE,AND('Model inputs'!C32&lt;=DATE(2028,7,1),DATE(2028,7,1)&lt;=DATE(2027,4,1))),'Model inputs'!AH12,"")</f>
      </c>
    </row>
    <row r="1407">
      <c r="A1407" t="inlineStr" s="21">
        <is>
          <t xml:space="preserve">Calculation</t>
        </is>
      </c>
      <c r="B1407">
        <f>IF(IF(AND('Model inputs'!C32&lt;=DATE(2028,8,1),DATE(2028,8,1)&lt;=DATE(2027,4,1))="",FALSE,AND('Model inputs'!C32&lt;=DATE(2028,8,1),DATE(2028,8,1)&lt;=DATE(2027,4,1))),'Model inputs'!AI12,"")</f>
      </c>
    </row>
    <row r="1408">
      <c r="A1408" t="inlineStr" s="21">
        <is>
          <t xml:space="preserve">Calculation</t>
        </is>
      </c>
      <c r="B1408">
        <f>IF(IF(AND('Model inputs'!C32&lt;=DATE(2028,9,1),DATE(2028,9,1)&lt;=DATE(2027,4,1))="",FALSE,AND('Model inputs'!C32&lt;=DATE(2028,9,1),DATE(2028,9,1)&lt;=DATE(2027,4,1))),'Model inputs'!AJ12,"")</f>
      </c>
    </row>
    <row r="1409">
      <c r="A1409" t="inlineStr" s="21">
        <is>
          <t xml:space="preserve">Calculation</t>
        </is>
      </c>
      <c r="B1409">
        <f>IF(AND('Model inputs'!B1376="",'Model inputs'!B1377="",'Model inputs'!B1378="",'Model inputs'!B1379="",'Model inputs'!B1380="",'Model inputs'!B1381="",'Model inputs'!B1382="",'Model inputs'!B1383="",'Model inputs'!B1384="",'Model inputs'!B1385="",'Model inputs'!B1386="",'Model inputs'!B1387="",'Model inputs'!B1388="",'Model inputs'!B1389="",'Model inputs'!B1390="",'Model inputs'!B1391="",'Model inputs'!B1392="",'Model inputs'!B1393="",'Model inputs'!B1394="",'Model inputs'!B1395="",'Model inputs'!B1396="",'Model inputs'!B1397="",'Model inputs'!B1398="",'Model inputs'!B1399="",'Model inputs'!B1400="",'Model inputs'!B1401="",'Model inputs'!B1402="",'Model inputs'!B1403="",'Model inputs'!B1404="",'Model inputs'!B1405="",'Model inputs'!B1406="",'Model inputs'!B1407="",'Model inputs'!B1408=""),"",MIN('Model inputs'!B1376,'Model inputs'!B1377,'Model inputs'!B1378,'Model inputs'!B1379,'Model inputs'!B1380,'Model inputs'!B1381,'Model inputs'!B1382,'Model inputs'!B1383,'Model inputs'!B1384,'Model inputs'!B1385,'Model inputs'!B1386,'Model inputs'!B1387,'Model inputs'!B1388,'Model inputs'!B1389,'Model inputs'!B1390,'Model inputs'!B1391,'Model inputs'!B1392,'Model inputs'!B1393,'Model inputs'!B1394,'Model inputs'!B1395,'Model inputs'!B1396,'Model inputs'!B1397,'Model inputs'!B1398,'Model inputs'!B1399,'Model inputs'!B1400,'Model inputs'!B1401,'Model inputs'!B1402,'Model inputs'!B1403,'Model inputs'!B1404,'Model inputs'!B1405,'Model inputs'!B1406,'Model inputs'!B1407,'Model inputs'!B1408))</f>
      </c>
    </row>
    <row r="1410">
      <c r="A1410" t="inlineStr" s="21">
        <is>
          <t xml:space="preserve">Calculation</t>
        </is>
      </c>
      <c r="B1410">
        <f>IF(IF(AND('Model inputs'!C32&lt;=DATE(2026,1,1),DATE(2026,1,1)&lt;=DATE(2027,5,1))="",FALSE,AND('Model inputs'!C32&lt;=DATE(2026,1,1),DATE(2026,1,1)&lt;=DATE(2027,5,1))),'Model inputs'!D12,"")</f>
      </c>
    </row>
    <row r="1411">
      <c r="A1411" t="inlineStr" s="21">
        <is>
          <t xml:space="preserve">Calculation</t>
        </is>
      </c>
      <c r="B1411">
        <f>IF(IF(AND('Model inputs'!C32&lt;=DATE(2026,2,1),DATE(2026,2,1)&lt;=DATE(2027,5,1))="",FALSE,AND('Model inputs'!C32&lt;=DATE(2026,2,1),DATE(2026,2,1)&lt;=DATE(2027,5,1))),'Model inputs'!E12,"")</f>
      </c>
    </row>
    <row r="1412">
      <c r="A1412" t="inlineStr" s="21">
        <is>
          <t xml:space="preserve">Calculation</t>
        </is>
      </c>
      <c r="B1412">
        <f>IF(IF(AND('Model inputs'!C32&lt;=DATE(2026,3,1),DATE(2026,3,1)&lt;=DATE(2027,5,1))="",FALSE,AND('Model inputs'!C32&lt;=DATE(2026,3,1),DATE(2026,3,1)&lt;=DATE(2027,5,1))),'Model inputs'!F12,"")</f>
      </c>
    </row>
    <row r="1413">
      <c r="A1413" t="inlineStr" s="21">
        <is>
          <t xml:space="preserve">Calculation</t>
        </is>
      </c>
      <c r="B1413">
        <f>IF(IF(AND('Model inputs'!C32&lt;=DATE(2026,4,1),DATE(2026,4,1)&lt;=DATE(2027,5,1))="",FALSE,AND('Model inputs'!C32&lt;=DATE(2026,4,1),DATE(2026,4,1)&lt;=DATE(2027,5,1))),'Model inputs'!G12,"")</f>
      </c>
    </row>
    <row r="1414">
      <c r="A1414" t="inlineStr" s="21">
        <is>
          <t xml:space="preserve">Calculation</t>
        </is>
      </c>
      <c r="B1414">
        <f>IF(IF(AND('Model inputs'!C32&lt;=DATE(2026,5,1),DATE(2026,5,1)&lt;=DATE(2027,5,1))="",FALSE,AND('Model inputs'!C32&lt;=DATE(2026,5,1),DATE(2026,5,1)&lt;=DATE(2027,5,1))),'Model inputs'!H12,"")</f>
      </c>
    </row>
    <row r="1415">
      <c r="A1415" t="inlineStr" s="21">
        <is>
          <t xml:space="preserve">Calculation</t>
        </is>
      </c>
      <c r="B1415">
        <f>IF(IF(AND('Model inputs'!C32&lt;=DATE(2026,6,1),DATE(2026,6,1)&lt;=DATE(2027,5,1))="",FALSE,AND('Model inputs'!C32&lt;=DATE(2026,6,1),DATE(2026,6,1)&lt;=DATE(2027,5,1))),'Model inputs'!I12,"")</f>
      </c>
    </row>
    <row r="1416">
      <c r="A1416" t="inlineStr" s="21">
        <is>
          <t xml:space="preserve">Calculation</t>
        </is>
      </c>
      <c r="B1416">
        <f>IF(IF(AND('Model inputs'!C32&lt;=DATE(2026,7,1),DATE(2026,7,1)&lt;=DATE(2027,5,1))="",FALSE,AND('Model inputs'!C32&lt;=DATE(2026,7,1),DATE(2026,7,1)&lt;=DATE(2027,5,1))),'Model inputs'!J12,"")</f>
      </c>
    </row>
    <row r="1417">
      <c r="A1417" t="inlineStr" s="21">
        <is>
          <t xml:space="preserve">Calculation</t>
        </is>
      </c>
      <c r="B1417">
        <f>IF(IF(AND('Model inputs'!C32&lt;=DATE(2026,8,1),DATE(2026,8,1)&lt;=DATE(2027,5,1))="",FALSE,AND('Model inputs'!C32&lt;=DATE(2026,8,1),DATE(2026,8,1)&lt;=DATE(2027,5,1))),'Model inputs'!K12,"")</f>
      </c>
    </row>
    <row r="1418">
      <c r="A1418" t="inlineStr" s="21">
        <is>
          <t xml:space="preserve">Calculation</t>
        </is>
      </c>
      <c r="B1418">
        <f>IF(IF(AND('Model inputs'!C32&lt;=DATE(2026,9,1),DATE(2026,9,1)&lt;=DATE(2027,5,1))="",FALSE,AND('Model inputs'!C32&lt;=DATE(2026,9,1),DATE(2026,9,1)&lt;=DATE(2027,5,1))),'Model inputs'!L12,"")</f>
      </c>
    </row>
    <row r="1419">
      <c r="A1419" t="inlineStr" s="21">
        <is>
          <t xml:space="preserve">Calculation</t>
        </is>
      </c>
      <c r="B1419">
        <f>IF(IF(AND('Model inputs'!C32&lt;=DATE(2026,10,1),DATE(2026,10,1)&lt;=DATE(2027,5,1))="",FALSE,AND('Model inputs'!C32&lt;=DATE(2026,10,1),DATE(2026,10,1)&lt;=DATE(2027,5,1))),'Model inputs'!M12,"")</f>
      </c>
    </row>
    <row r="1420">
      <c r="A1420" t="inlineStr" s="21">
        <is>
          <t xml:space="preserve">Calculation</t>
        </is>
      </c>
      <c r="B1420">
        <f>IF(IF(AND('Model inputs'!C32&lt;=DATE(2026,11,1),DATE(2026,11,1)&lt;=DATE(2027,5,1))="",FALSE,AND('Model inputs'!C32&lt;=DATE(2026,11,1),DATE(2026,11,1)&lt;=DATE(2027,5,1))),'Model inputs'!N12,"")</f>
      </c>
    </row>
    <row r="1421">
      <c r="A1421" t="inlineStr" s="21">
        <is>
          <t xml:space="preserve">Calculation</t>
        </is>
      </c>
      <c r="B1421">
        <f>IF(IF(AND('Model inputs'!C32&lt;=DATE(2026,12,1),DATE(2026,12,1)&lt;=DATE(2027,5,1))="",FALSE,AND('Model inputs'!C32&lt;=DATE(2026,12,1),DATE(2026,12,1)&lt;=DATE(2027,5,1))),'Model inputs'!O12,"")</f>
      </c>
    </row>
    <row r="1422">
      <c r="A1422" t="inlineStr" s="21">
        <is>
          <t xml:space="preserve">Calculation</t>
        </is>
      </c>
      <c r="B1422">
        <f>IF(IF(AND('Model inputs'!C32&lt;=DATE(2027,1,1),DATE(2027,1,1)&lt;=DATE(2027,5,1))="",FALSE,AND('Model inputs'!C32&lt;=DATE(2027,1,1),DATE(2027,1,1)&lt;=DATE(2027,5,1))),'Model inputs'!P12,"")</f>
      </c>
    </row>
    <row r="1423">
      <c r="A1423" t="inlineStr" s="21">
        <is>
          <t xml:space="preserve">Calculation</t>
        </is>
      </c>
      <c r="B1423">
        <f>IF(IF(AND('Model inputs'!C32&lt;=DATE(2027,2,1),DATE(2027,2,1)&lt;=DATE(2027,5,1))="",FALSE,AND('Model inputs'!C32&lt;=DATE(2027,2,1),DATE(2027,2,1)&lt;=DATE(2027,5,1))),'Model inputs'!Q12,"")</f>
      </c>
    </row>
    <row r="1424">
      <c r="A1424" t="inlineStr" s="21">
        <is>
          <t xml:space="preserve">Calculation</t>
        </is>
      </c>
      <c r="B1424">
        <f>IF(IF(AND('Model inputs'!C32&lt;=DATE(2027,3,1),DATE(2027,3,1)&lt;=DATE(2027,5,1))="",FALSE,AND('Model inputs'!C32&lt;=DATE(2027,3,1),DATE(2027,3,1)&lt;=DATE(2027,5,1))),'Model inputs'!R12,"")</f>
      </c>
    </row>
    <row r="1425">
      <c r="A1425" t="inlineStr" s="21">
        <is>
          <t xml:space="preserve">Calculation</t>
        </is>
      </c>
      <c r="B1425">
        <f>IF(IF(AND('Model inputs'!C32&lt;=DATE(2027,4,1),DATE(2027,4,1)&lt;=DATE(2027,5,1))="",FALSE,AND('Model inputs'!C32&lt;=DATE(2027,4,1),DATE(2027,4,1)&lt;=DATE(2027,5,1))),'Model inputs'!S12,"")</f>
      </c>
    </row>
    <row r="1426">
      <c r="A1426" t="inlineStr" s="21">
        <is>
          <t xml:space="preserve">Calculation</t>
        </is>
      </c>
      <c r="B1426">
        <f>IF(IF(AND('Model inputs'!C32&lt;=DATE(2027,5,1),DATE(2027,5,1)&lt;=DATE(2027,5,1))="",FALSE,AND('Model inputs'!C32&lt;=DATE(2027,5,1),DATE(2027,5,1)&lt;=DATE(2027,5,1))),'Model inputs'!T12,"")</f>
      </c>
    </row>
    <row r="1427">
      <c r="A1427" t="inlineStr" s="21">
        <is>
          <t xml:space="preserve">Calculation</t>
        </is>
      </c>
      <c r="B1427">
        <f>IF(IF(AND('Model inputs'!C32&lt;=DATE(2027,6,1),DATE(2027,6,1)&lt;=DATE(2027,5,1))="",FALSE,AND('Model inputs'!C32&lt;=DATE(2027,6,1),DATE(2027,6,1)&lt;=DATE(2027,5,1))),'Model inputs'!U12,"")</f>
      </c>
    </row>
    <row r="1428">
      <c r="A1428" t="inlineStr" s="21">
        <is>
          <t xml:space="preserve">Calculation</t>
        </is>
      </c>
      <c r="B1428">
        <f>IF(IF(AND('Model inputs'!C32&lt;=DATE(2027,7,1),DATE(2027,7,1)&lt;=DATE(2027,5,1))="",FALSE,AND('Model inputs'!C32&lt;=DATE(2027,7,1),DATE(2027,7,1)&lt;=DATE(2027,5,1))),'Model inputs'!V12,"")</f>
      </c>
    </row>
    <row r="1429">
      <c r="A1429" t="inlineStr" s="21">
        <is>
          <t xml:space="preserve">Calculation</t>
        </is>
      </c>
      <c r="B1429">
        <f>IF(IF(AND('Model inputs'!C32&lt;=DATE(2027,8,1),DATE(2027,8,1)&lt;=DATE(2027,5,1))="",FALSE,AND('Model inputs'!C32&lt;=DATE(2027,8,1),DATE(2027,8,1)&lt;=DATE(2027,5,1))),'Model inputs'!W12,"")</f>
      </c>
    </row>
    <row r="1430">
      <c r="A1430" t="inlineStr" s="21">
        <is>
          <t xml:space="preserve">Calculation</t>
        </is>
      </c>
      <c r="B1430">
        <f>IF(IF(AND('Model inputs'!C32&lt;=DATE(2027,9,1),DATE(2027,9,1)&lt;=DATE(2027,5,1))="",FALSE,AND('Model inputs'!C32&lt;=DATE(2027,9,1),DATE(2027,9,1)&lt;=DATE(2027,5,1))),'Model inputs'!X12,"")</f>
      </c>
    </row>
    <row r="1431">
      <c r="A1431" t="inlineStr" s="21">
        <is>
          <t xml:space="preserve">Calculation</t>
        </is>
      </c>
      <c r="B1431">
        <f>IF(IF(AND('Model inputs'!C32&lt;=DATE(2027,10,1),DATE(2027,10,1)&lt;=DATE(2027,5,1))="",FALSE,AND('Model inputs'!C32&lt;=DATE(2027,10,1),DATE(2027,10,1)&lt;=DATE(2027,5,1))),'Model inputs'!Y12,"")</f>
      </c>
    </row>
    <row r="1432">
      <c r="A1432" t="inlineStr" s="21">
        <is>
          <t xml:space="preserve">Calculation</t>
        </is>
      </c>
      <c r="B1432">
        <f>IF(IF(AND('Model inputs'!C32&lt;=DATE(2027,11,1),DATE(2027,11,1)&lt;=DATE(2027,5,1))="",FALSE,AND('Model inputs'!C32&lt;=DATE(2027,11,1),DATE(2027,11,1)&lt;=DATE(2027,5,1))),'Model inputs'!Z12,"")</f>
      </c>
    </row>
    <row r="1433">
      <c r="A1433" t="inlineStr" s="21">
        <is>
          <t xml:space="preserve">Calculation</t>
        </is>
      </c>
      <c r="B1433">
        <f>IF(IF(AND('Model inputs'!C32&lt;=DATE(2027,12,1),DATE(2027,12,1)&lt;=DATE(2027,5,1))="",FALSE,AND('Model inputs'!C32&lt;=DATE(2027,12,1),DATE(2027,12,1)&lt;=DATE(2027,5,1))),'Model inputs'!AA12,"")</f>
      </c>
    </row>
    <row r="1434">
      <c r="A1434" t="inlineStr" s="21">
        <is>
          <t xml:space="preserve">Calculation</t>
        </is>
      </c>
      <c r="B1434">
        <f>IF(IF(AND('Model inputs'!C32&lt;=DATE(2028,1,1),DATE(2028,1,1)&lt;=DATE(2027,5,1))="",FALSE,AND('Model inputs'!C32&lt;=DATE(2028,1,1),DATE(2028,1,1)&lt;=DATE(2027,5,1))),'Model inputs'!AB12,"")</f>
      </c>
    </row>
    <row r="1435">
      <c r="A1435" t="inlineStr" s="21">
        <is>
          <t xml:space="preserve">Calculation</t>
        </is>
      </c>
      <c r="B1435">
        <f>IF(IF(AND('Model inputs'!C32&lt;=DATE(2028,2,1),DATE(2028,2,1)&lt;=DATE(2027,5,1))="",FALSE,AND('Model inputs'!C32&lt;=DATE(2028,2,1),DATE(2028,2,1)&lt;=DATE(2027,5,1))),'Model inputs'!AC12,"")</f>
      </c>
    </row>
    <row r="1436">
      <c r="A1436" t="inlineStr" s="21">
        <is>
          <t xml:space="preserve">Calculation</t>
        </is>
      </c>
      <c r="B1436">
        <f>IF(IF(AND('Model inputs'!C32&lt;=DATE(2028,3,1),DATE(2028,3,1)&lt;=DATE(2027,5,1))="",FALSE,AND('Model inputs'!C32&lt;=DATE(2028,3,1),DATE(2028,3,1)&lt;=DATE(2027,5,1))),'Model inputs'!AD12,"")</f>
      </c>
    </row>
    <row r="1437">
      <c r="A1437" t="inlineStr" s="21">
        <is>
          <t xml:space="preserve">Calculation</t>
        </is>
      </c>
      <c r="B1437">
        <f>IF(IF(AND('Model inputs'!C32&lt;=DATE(2028,4,1),DATE(2028,4,1)&lt;=DATE(2027,5,1))="",FALSE,AND('Model inputs'!C32&lt;=DATE(2028,4,1),DATE(2028,4,1)&lt;=DATE(2027,5,1))),'Model inputs'!AE12,"")</f>
      </c>
    </row>
    <row r="1438">
      <c r="A1438" t="inlineStr" s="21">
        <is>
          <t xml:space="preserve">Calculation</t>
        </is>
      </c>
      <c r="B1438">
        <f>IF(IF(AND('Model inputs'!C32&lt;=DATE(2028,5,1),DATE(2028,5,1)&lt;=DATE(2027,5,1))="",FALSE,AND('Model inputs'!C32&lt;=DATE(2028,5,1),DATE(2028,5,1)&lt;=DATE(2027,5,1))),'Model inputs'!AF12,"")</f>
      </c>
    </row>
    <row r="1439">
      <c r="A1439" t="inlineStr" s="21">
        <is>
          <t xml:space="preserve">Calculation</t>
        </is>
      </c>
      <c r="B1439">
        <f>IF(IF(AND('Model inputs'!C32&lt;=DATE(2028,6,1),DATE(2028,6,1)&lt;=DATE(2027,5,1))="",FALSE,AND('Model inputs'!C32&lt;=DATE(2028,6,1),DATE(2028,6,1)&lt;=DATE(2027,5,1))),'Model inputs'!AG12,"")</f>
      </c>
    </row>
    <row r="1440">
      <c r="A1440" t="inlineStr" s="21">
        <is>
          <t xml:space="preserve">Calculation</t>
        </is>
      </c>
      <c r="B1440">
        <f>IF(IF(AND('Model inputs'!C32&lt;=DATE(2028,7,1),DATE(2028,7,1)&lt;=DATE(2027,5,1))="",FALSE,AND('Model inputs'!C32&lt;=DATE(2028,7,1),DATE(2028,7,1)&lt;=DATE(2027,5,1))),'Model inputs'!AH12,"")</f>
      </c>
    </row>
    <row r="1441">
      <c r="A1441" t="inlineStr" s="21">
        <is>
          <t xml:space="preserve">Calculation</t>
        </is>
      </c>
      <c r="B1441">
        <f>IF(IF(AND('Model inputs'!C32&lt;=DATE(2028,8,1),DATE(2028,8,1)&lt;=DATE(2027,5,1))="",FALSE,AND('Model inputs'!C32&lt;=DATE(2028,8,1),DATE(2028,8,1)&lt;=DATE(2027,5,1))),'Model inputs'!AI12,"")</f>
      </c>
    </row>
    <row r="1442">
      <c r="A1442" t="inlineStr" s="21">
        <is>
          <t xml:space="preserve">Calculation</t>
        </is>
      </c>
      <c r="B1442">
        <f>IF(IF(AND('Model inputs'!C32&lt;=DATE(2028,9,1),DATE(2028,9,1)&lt;=DATE(2027,5,1))="",FALSE,AND('Model inputs'!C32&lt;=DATE(2028,9,1),DATE(2028,9,1)&lt;=DATE(2027,5,1))),'Model inputs'!AJ12,"")</f>
      </c>
    </row>
    <row r="1443">
      <c r="A1443" t="inlineStr" s="21">
        <is>
          <t xml:space="preserve">Calculation</t>
        </is>
      </c>
      <c r="B1443">
        <f>IF(AND('Model inputs'!B1410="",'Model inputs'!B1411="",'Model inputs'!B1412="",'Model inputs'!B1413="",'Model inputs'!B1414="",'Model inputs'!B1415="",'Model inputs'!B1416="",'Model inputs'!B1417="",'Model inputs'!B1418="",'Model inputs'!B1419="",'Model inputs'!B1420="",'Model inputs'!B1421="",'Model inputs'!B1422="",'Model inputs'!B1423="",'Model inputs'!B1424="",'Model inputs'!B1425="",'Model inputs'!B1426="",'Model inputs'!B1427="",'Model inputs'!B1428="",'Model inputs'!B1429="",'Model inputs'!B1430="",'Model inputs'!B1431="",'Model inputs'!B1432="",'Model inputs'!B1433="",'Model inputs'!B1434="",'Model inputs'!B1435="",'Model inputs'!B1436="",'Model inputs'!B1437="",'Model inputs'!B1438="",'Model inputs'!B1439="",'Model inputs'!B1440="",'Model inputs'!B1441="",'Model inputs'!B1442=""),"",MIN('Model inputs'!B1410,'Model inputs'!B1411,'Model inputs'!B1412,'Model inputs'!B1413,'Model inputs'!B1414,'Model inputs'!B1415,'Model inputs'!B1416,'Model inputs'!B1417,'Model inputs'!B1418,'Model inputs'!B1419,'Model inputs'!B1420,'Model inputs'!B1421,'Model inputs'!B1422,'Model inputs'!B1423,'Model inputs'!B1424,'Model inputs'!B1425,'Model inputs'!B1426,'Model inputs'!B1427,'Model inputs'!B1428,'Model inputs'!B1429,'Model inputs'!B1430,'Model inputs'!B1431,'Model inputs'!B1432,'Model inputs'!B1433,'Model inputs'!B1434,'Model inputs'!B1435,'Model inputs'!B1436,'Model inputs'!B1437,'Model inputs'!B1438,'Model inputs'!B1439,'Model inputs'!B1440,'Model inputs'!B1441,'Model inputs'!B1442))</f>
      </c>
    </row>
    <row r="1444">
      <c r="A1444" t="inlineStr" s="21">
        <is>
          <t xml:space="preserve">Calculation</t>
        </is>
      </c>
      <c r="B1444">
        <f>IF(IF(AND('Model inputs'!C32&lt;=DATE(2026,1,1),DATE(2026,1,1)&lt;=DATE(2027,6,1))="",FALSE,AND('Model inputs'!C32&lt;=DATE(2026,1,1),DATE(2026,1,1)&lt;=DATE(2027,6,1))),'Model inputs'!D12,"")</f>
      </c>
    </row>
    <row r="1445">
      <c r="A1445" t="inlineStr" s="21">
        <is>
          <t xml:space="preserve">Calculation</t>
        </is>
      </c>
      <c r="B1445">
        <f>IF(IF(AND('Model inputs'!C32&lt;=DATE(2026,2,1),DATE(2026,2,1)&lt;=DATE(2027,6,1))="",FALSE,AND('Model inputs'!C32&lt;=DATE(2026,2,1),DATE(2026,2,1)&lt;=DATE(2027,6,1))),'Model inputs'!E12,"")</f>
      </c>
    </row>
    <row r="1446">
      <c r="A1446" t="inlineStr" s="21">
        <is>
          <t xml:space="preserve">Calculation</t>
        </is>
      </c>
      <c r="B1446">
        <f>IF(IF(AND('Model inputs'!C32&lt;=DATE(2026,3,1),DATE(2026,3,1)&lt;=DATE(2027,6,1))="",FALSE,AND('Model inputs'!C32&lt;=DATE(2026,3,1),DATE(2026,3,1)&lt;=DATE(2027,6,1))),'Model inputs'!F12,"")</f>
      </c>
    </row>
    <row r="1447">
      <c r="A1447" t="inlineStr" s="21">
        <is>
          <t xml:space="preserve">Calculation</t>
        </is>
      </c>
      <c r="B1447">
        <f>IF(IF(AND('Model inputs'!C32&lt;=DATE(2026,4,1),DATE(2026,4,1)&lt;=DATE(2027,6,1))="",FALSE,AND('Model inputs'!C32&lt;=DATE(2026,4,1),DATE(2026,4,1)&lt;=DATE(2027,6,1))),'Model inputs'!G12,"")</f>
      </c>
    </row>
    <row r="1448">
      <c r="A1448" t="inlineStr" s="21">
        <is>
          <t xml:space="preserve">Calculation</t>
        </is>
      </c>
      <c r="B1448">
        <f>IF(IF(AND('Model inputs'!C32&lt;=DATE(2026,5,1),DATE(2026,5,1)&lt;=DATE(2027,6,1))="",FALSE,AND('Model inputs'!C32&lt;=DATE(2026,5,1),DATE(2026,5,1)&lt;=DATE(2027,6,1))),'Model inputs'!H12,"")</f>
      </c>
    </row>
    <row r="1449">
      <c r="A1449" t="inlineStr" s="21">
        <is>
          <t xml:space="preserve">Calculation</t>
        </is>
      </c>
      <c r="B1449">
        <f>IF(IF(AND('Model inputs'!C32&lt;=DATE(2026,6,1),DATE(2026,6,1)&lt;=DATE(2027,6,1))="",FALSE,AND('Model inputs'!C32&lt;=DATE(2026,6,1),DATE(2026,6,1)&lt;=DATE(2027,6,1))),'Model inputs'!I12,"")</f>
      </c>
    </row>
    <row r="1450">
      <c r="A1450" t="inlineStr" s="21">
        <is>
          <t xml:space="preserve">Calculation</t>
        </is>
      </c>
      <c r="B1450">
        <f>IF(IF(AND('Model inputs'!C32&lt;=DATE(2026,7,1),DATE(2026,7,1)&lt;=DATE(2027,6,1))="",FALSE,AND('Model inputs'!C32&lt;=DATE(2026,7,1),DATE(2026,7,1)&lt;=DATE(2027,6,1))),'Model inputs'!J12,"")</f>
      </c>
    </row>
    <row r="1451">
      <c r="A1451" t="inlineStr" s="21">
        <is>
          <t xml:space="preserve">Calculation</t>
        </is>
      </c>
      <c r="B1451">
        <f>IF(IF(AND('Model inputs'!C32&lt;=DATE(2026,8,1),DATE(2026,8,1)&lt;=DATE(2027,6,1))="",FALSE,AND('Model inputs'!C32&lt;=DATE(2026,8,1),DATE(2026,8,1)&lt;=DATE(2027,6,1))),'Model inputs'!K12,"")</f>
      </c>
    </row>
    <row r="1452">
      <c r="A1452" t="inlineStr" s="21">
        <is>
          <t xml:space="preserve">Calculation</t>
        </is>
      </c>
      <c r="B1452">
        <f>IF(IF(AND('Model inputs'!C32&lt;=DATE(2026,9,1),DATE(2026,9,1)&lt;=DATE(2027,6,1))="",FALSE,AND('Model inputs'!C32&lt;=DATE(2026,9,1),DATE(2026,9,1)&lt;=DATE(2027,6,1))),'Model inputs'!L12,"")</f>
      </c>
    </row>
    <row r="1453">
      <c r="A1453" t="inlineStr" s="21">
        <is>
          <t xml:space="preserve">Calculation</t>
        </is>
      </c>
      <c r="B1453">
        <f>IF(IF(AND('Model inputs'!C32&lt;=DATE(2026,10,1),DATE(2026,10,1)&lt;=DATE(2027,6,1))="",FALSE,AND('Model inputs'!C32&lt;=DATE(2026,10,1),DATE(2026,10,1)&lt;=DATE(2027,6,1))),'Model inputs'!M12,"")</f>
      </c>
    </row>
    <row r="1454">
      <c r="A1454" t="inlineStr" s="21">
        <is>
          <t xml:space="preserve">Calculation</t>
        </is>
      </c>
      <c r="B1454">
        <f>IF(IF(AND('Model inputs'!C32&lt;=DATE(2026,11,1),DATE(2026,11,1)&lt;=DATE(2027,6,1))="",FALSE,AND('Model inputs'!C32&lt;=DATE(2026,11,1),DATE(2026,11,1)&lt;=DATE(2027,6,1))),'Model inputs'!N12,"")</f>
      </c>
    </row>
    <row r="1455">
      <c r="A1455" t="inlineStr" s="21">
        <is>
          <t xml:space="preserve">Calculation</t>
        </is>
      </c>
      <c r="B1455">
        <f>IF(IF(AND('Model inputs'!C32&lt;=DATE(2026,12,1),DATE(2026,12,1)&lt;=DATE(2027,6,1))="",FALSE,AND('Model inputs'!C32&lt;=DATE(2026,12,1),DATE(2026,12,1)&lt;=DATE(2027,6,1))),'Model inputs'!O12,"")</f>
      </c>
    </row>
    <row r="1456">
      <c r="A1456" t="inlineStr" s="21">
        <is>
          <t xml:space="preserve">Calculation</t>
        </is>
      </c>
      <c r="B1456">
        <f>IF(IF(AND('Model inputs'!C32&lt;=DATE(2027,1,1),DATE(2027,1,1)&lt;=DATE(2027,6,1))="",FALSE,AND('Model inputs'!C32&lt;=DATE(2027,1,1),DATE(2027,1,1)&lt;=DATE(2027,6,1))),'Model inputs'!P12,"")</f>
      </c>
    </row>
    <row r="1457">
      <c r="A1457" t="inlineStr" s="21">
        <is>
          <t xml:space="preserve">Calculation</t>
        </is>
      </c>
      <c r="B1457">
        <f>IF(IF(AND('Model inputs'!C32&lt;=DATE(2027,2,1),DATE(2027,2,1)&lt;=DATE(2027,6,1))="",FALSE,AND('Model inputs'!C32&lt;=DATE(2027,2,1),DATE(2027,2,1)&lt;=DATE(2027,6,1))),'Model inputs'!Q12,"")</f>
      </c>
    </row>
    <row r="1458">
      <c r="A1458" t="inlineStr" s="21">
        <is>
          <t xml:space="preserve">Calculation</t>
        </is>
      </c>
      <c r="B1458">
        <f>IF(IF(AND('Model inputs'!C32&lt;=DATE(2027,3,1),DATE(2027,3,1)&lt;=DATE(2027,6,1))="",FALSE,AND('Model inputs'!C32&lt;=DATE(2027,3,1),DATE(2027,3,1)&lt;=DATE(2027,6,1))),'Model inputs'!R12,"")</f>
      </c>
    </row>
    <row r="1459">
      <c r="A1459" t="inlineStr" s="21">
        <is>
          <t xml:space="preserve">Calculation</t>
        </is>
      </c>
      <c r="B1459">
        <f>IF(IF(AND('Model inputs'!C32&lt;=DATE(2027,4,1),DATE(2027,4,1)&lt;=DATE(2027,6,1))="",FALSE,AND('Model inputs'!C32&lt;=DATE(2027,4,1),DATE(2027,4,1)&lt;=DATE(2027,6,1))),'Model inputs'!S12,"")</f>
      </c>
    </row>
    <row r="1460">
      <c r="A1460" t="inlineStr" s="21">
        <is>
          <t xml:space="preserve">Calculation</t>
        </is>
      </c>
      <c r="B1460">
        <f>IF(IF(AND('Model inputs'!C32&lt;=DATE(2027,5,1),DATE(2027,5,1)&lt;=DATE(2027,6,1))="",FALSE,AND('Model inputs'!C32&lt;=DATE(2027,5,1),DATE(2027,5,1)&lt;=DATE(2027,6,1))),'Model inputs'!T12,"")</f>
      </c>
    </row>
    <row r="1461">
      <c r="A1461" t="inlineStr" s="21">
        <is>
          <t xml:space="preserve">Calculation</t>
        </is>
      </c>
      <c r="B1461">
        <f>IF(IF(AND('Model inputs'!C32&lt;=DATE(2027,6,1),DATE(2027,6,1)&lt;=DATE(2027,6,1))="",FALSE,AND('Model inputs'!C32&lt;=DATE(2027,6,1),DATE(2027,6,1)&lt;=DATE(2027,6,1))),'Model inputs'!U12,"")</f>
      </c>
    </row>
    <row r="1462">
      <c r="A1462" t="inlineStr" s="21">
        <is>
          <t xml:space="preserve">Calculation</t>
        </is>
      </c>
      <c r="B1462">
        <f>IF(IF(AND('Model inputs'!C32&lt;=DATE(2027,7,1),DATE(2027,7,1)&lt;=DATE(2027,6,1))="",FALSE,AND('Model inputs'!C32&lt;=DATE(2027,7,1),DATE(2027,7,1)&lt;=DATE(2027,6,1))),'Model inputs'!V12,"")</f>
      </c>
    </row>
    <row r="1463">
      <c r="A1463" t="inlineStr" s="21">
        <is>
          <t xml:space="preserve">Calculation</t>
        </is>
      </c>
      <c r="B1463">
        <f>IF(IF(AND('Model inputs'!C32&lt;=DATE(2027,8,1),DATE(2027,8,1)&lt;=DATE(2027,6,1))="",FALSE,AND('Model inputs'!C32&lt;=DATE(2027,8,1),DATE(2027,8,1)&lt;=DATE(2027,6,1))),'Model inputs'!W12,"")</f>
      </c>
    </row>
    <row r="1464">
      <c r="A1464" t="inlineStr" s="21">
        <is>
          <t xml:space="preserve">Calculation</t>
        </is>
      </c>
      <c r="B1464">
        <f>IF(IF(AND('Model inputs'!C32&lt;=DATE(2027,9,1),DATE(2027,9,1)&lt;=DATE(2027,6,1))="",FALSE,AND('Model inputs'!C32&lt;=DATE(2027,9,1),DATE(2027,9,1)&lt;=DATE(2027,6,1))),'Model inputs'!X12,"")</f>
      </c>
    </row>
    <row r="1465">
      <c r="A1465" t="inlineStr" s="21">
        <is>
          <t xml:space="preserve">Calculation</t>
        </is>
      </c>
      <c r="B1465">
        <f>IF(IF(AND('Model inputs'!C32&lt;=DATE(2027,10,1),DATE(2027,10,1)&lt;=DATE(2027,6,1))="",FALSE,AND('Model inputs'!C32&lt;=DATE(2027,10,1),DATE(2027,10,1)&lt;=DATE(2027,6,1))),'Model inputs'!Y12,"")</f>
      </c>
    </row>
    <row r="1466">
      <c r="A1466" t="inlineStr" s="21">
        <is>
          <t xml:space="preserve">Calculation</t>
        </is>
      </c>
      <c r="B1466">
        <f>IF(IF(AND('Model inputs'!C32&lt;=DATE(2027,11,1),DATE(2027,11,1)&lt;=DATE(2027,6,1))="",FALSE,AND('Model inputs'!C32&lt;=DATE(2027,11,1),DATE(2027,11,1)&lt;=DATE(2027,6,1))),'Model inputs'!Z12,"")</f>
      </c>
    </row>
    <row r="1467">
      <c r="A1467" t="inlineStr" s="21">
        <is>
          <t xml:space="preserve">Calculation</t>
        </is>
      </c>
      <c r="B1467">
        <f>IF(IF(AND('Model inputs'!C32&lt;=DATE(2027,12,1),DATE(2027,12,1)&lt;=DATE(2027,6,1))="",FALSE,AND('Model inputs'!C32&lt;=DATE(2027,12,1),DATE(2027,12,1)&lt;=DATE(2027,6,1))),'Model inputs'!AA12,"")</f>
      </c>
    </row>
    <row r="1468">
      <c r="A1468" t="inlineStr" s="21">
        <is>
          <t xml:space="preserve">Calculation</t>
        </is>
      </c>
      <c r="B1468">
        <f>IF(IF(AND('Model inputs'!C32&lt;=DATE(2028,1,1),DATE(2028,1,1)&lt;=DATE(2027,6,1))="",FALSE,AND('Model inputs'!C32&lt;=DATE(2028,1,1),DATE(2028,1,1)&lt;=DATE(2027,6,1))),'Model inputs'!AB12,"")</f>
      </c>
    </row>
    <row r="1469">
      <c r="A1469" t="inlineStr" s="21">
        <is>
          <t xml:space="preserve">Calculation</t>
        </is>
      </c>
      <c r="B1469">
        <f>IF(IF(AND('Model inputs'!C32&lt;=DATE(2028,2,1),DATE(2028,2,1)&lt;=DATE(2027,6,1))="",FALSE,AND('Model inputs'!C32&lt;=DATE(2028,2,1),DATE(2028,2,1)&lt;=DATE(2027,6,1))),'Model inputs'!AC12,"")</f>
      </c>
    </row>
    <row r="1470">
      <c r="A1470" t="inlineStr" s="21">
        <is>
          <t xml:space="preserve">Calculation</t>
        </is>
      </c>
      <c r="B1470">
        <f>IF(IF(AND('Model inputs'!C32&lt;=DATE(2028,3,1),DATE(2028,3,1)&lt;=DATE(2027,6,1))="",FALSE,AND('Model inputs'!C32&lt;=DATE(2028,3,1),DATE(2028,3,1)&lt;=DATE(2027,6,1))),'Model inputs'!AD12,"")</f>
      </c>
    </row>
    <row r="1471">
      <c r="A1471" t="inlineStr" s="21">
        <is>
          <t xml:space="preserve">Calculation</t>
        </is>
      </c>
      <c r="B1471">
        <f>IF(IF(AND('Model inputs'!C32&lt;=DATE(2028,4,1),DATE(2028,4,1)&lt;=DATE(2027,6,1))="",FALSE,AND('Model inputs'!C32&lt;=DATE(2028,4,1),DATE(2028,4,1)&lt;=DATE(2027,6,1))),'Model inputs'!AE12,"")</f>
      </c>
    </row>
    <row r="1472">
      <c r="A1472" t="inlineStr" s="21">
        <is>
          <t xml:space="preserve">Calculation</t>
        </is>
      </c>
      <c r="B1472">
        <f>IF(IF(AND('Model inputs'!C32&lt;=DATE(2028,5,1),DATE(2028,5,1)&lt;=DATE(2027,6,1))="",FALSE,AND('Model inputs'!C32&lt;=DATE(2028,5,1),DATE(2028,5,1)&lt;=DATE(2027,6,1))),'Model inputs'!AF12,"")</f>
      </c>
    </row>
    <row r="1473">
      <c r="A1473" t="inlineStr" s="21">
        <is>
          <t xml:space="preserve">Calculation</t>
        </is>
      </c>
      <c r="B1473">
        <f>IF(IF(AND('Model inputs'!C32&lt;=DATE(2028,6,1),DATE(2028,6,1)&lt;=DATE(2027,6,1))="",FALSE,AND('Model inputs'!C32&lt;=DATE(2028,6,1),DATE(2028,6,1)&lt;=DATE(2027,6,1))),'Model inputs'!AG12,"")</f>
      </c>
    </row>
    <row r="1474">
      <c r="A1474" t="inlineStr" s="21">
        <is>
          <t xml:space="preserve">Calculation</t>
        </is>
      </c>
      <c r="B1474">
        <f>IF(IF(AND('Model inputs'!C32&lt;=DATE(2028,7,1),DATE(2028,7,1)&lt;=DATE(2027,6,1))="",FALSE,AND('Model inputs'!C32&lt;=DATE(2028,7,1),DATE(2028,7,1)&lt;=DATE(2027,6,1))),'Model inputs'!AH12,"")</f>
      </c>
    </row>
    <row r="1475">
      <c r="A1475" t="inlineStr" s="21">
        <is>
          <t xml:space="preserve">Calculation</t>
        </is>
      </c>
      <c r="B1475">
        <f>IF(IF(AND('Model inputs'!C32&lt;=DATE(2028,8,1),DATE(2028,8,1)&lt;=DATE(2027,6,1))="",FALSE,AND('Model inputs'!C32&lt;=DATE(2028,8,1),DATE(2028,8,1)&lt;=DATE(2027,6,1))),'Model inputs'!AI12,"")</f>
      </c>
    </row>
    <row r="1476">
      <c r="A1476" t="inlineStr" s="21">
        <is>
          <t xml:space="preserve">Calculation</t>
        </is>
      </c>
      <c r="B1476">
        <f>IF(IF(AND('Model inputs'!C32&lt;=DATE(2028,9,1),DATE(2028,9,1)&lt;=DATE(2027,6,1))="",FALSE,AND('Model inputs'!C32&lt;=DATE(2028,9,1),DATE(2028,9,1)&lt;=DATE(2027,6,1))),'Model inputs'!AJ12,"")</f>
      </c>
    </row>
    <row r="1477">
      <c r="A1477" t="inlineStr" s="21">
        <is>
          <t xml:space="preserve">Calculation</t>
        </is>
      </c>
      <c r="B1477">
        <f>IF(AND('Model inputs'!B1444="",'Model inputs'!B1445="",'Model inputs'!B1446="",'Model inputs'!B1447="",'Model inputs'!B1448="",'Model inputs'!B1449="",'Model inputs'!B1450="",'Model inputs'!B1451="",'Model inputs'!B1452="",'Model inputs'!B1453="",'Model inputs'!B1454="",'Model inputs'!B1455="",'Model inputs'!B1456="",'Model inputs'!B1457="",'Model inputs'!B1458="",'Model inputs'!B1459="",'Model inputs'!B1460="",'Model inputs'!B1461="",'Model inputs'!B1462="",'Model inputs'!B1463="",'Model inputs'!B1464="",'Model inputs'!B1465="",'Model inputs'!B1466="",'Model inputs'!B1467="",'Model inputs'!B1468="",'Model inputs'!B1469="",'Model inputs'!B1470="",'Model inputs'!B1471="",'Model inputs'!B1472="",'Model inputs'!B1473="",'Model inputs'!B1474="",'Model inputs'!B1475="",'Model inputs'!B1476=""),"",MIN('Model inputs'!B1444,'Model inputs'!B1445,'Model inputs'!B1446,'Model inputs'!B1447,'Model inputs'!B1448,'Model inputs'!B1449,'Model inputs'!B1450,'Model inputs'!B1451,'Model inputs'!B1452,'Model inputs'!B1453,'Model inputs'!B1454,'Model inputs'!B1455,'Model inputs'!B1456,'Model inputs'!B1457,'Model inputs'!B1458,'Model inputs'!B1459,'Model inputs'!B1460,'Model inputs'!B1461,'Model inputs'!B1462,'Model inputs'!B1463,'Model inputs'!B1464,'Model inputs'!B1465,'Model inputs'!B1466,'Model inputs'!B1467,'Model inputs'!B1468,'Model inputs'!B1469,'Model inputs'!B1470,'Model inputs'!B1471,'Model inputs'!B1472,'Model inputs'!B1473,'Model inputs'!B1474,'Model inputs'!B1475,'Model inputs'!B1476))</f>
      </c>
    </row>
    <row r="1478">
      <c r="A1478" t="inlineStr" s="21">
        <is>
          <t xml:space="preserve">Calculation</t>
        </is>
      </c>
      <c r="B1478">
        <f>IF(IF(AND('Model inputs'!C32&lt;=DATE(2026,1,1),DATE(2026,1,1)&lt;=DATE(2027,7,1))="",FALSE,AND('Model inputs'!C32&lt;=DATE(2026,1,1),DATE(2026,1,1)&lt;=DATE(2027,7,1))),'Model inputs'!D12,"")</f>
      </c>
    </row>
    <row r="1479">
      <c r="A1479" t="inlineStr" s="21">
        <is>
          <t xml:space="preserve">Calculation</t>
        </is>
      </c>
      <c r="B1479">
        <f>IF(IF(AND('Model inputs'!C32&lt;=DATE(2026,2,1),DATE(2026,2,1)&lt;=DATE(2027,7,1))="",FALSE,AND('Model inputs'!C32&lt;=DATE(2026,2,1),DATE(2026,2,1)&lt;=DATE(2027,7,1))),'Model inputs'!E12,"")</f>
      </c>
    </row>
    <row r="1480">
      <c r="A1480" t="inlineStr" s="21">
        <is>
          <t xml:space="preserve">Calculation</t>
        </is>
      </c>
      <c r="B1480">
        <f>IF(IF(AND('Model inputs'!C32&lt;=DATE(2026,3,1),DATE(2026,3,1)&lt;=DATE(2027,7,1))="",FALSE,AND('Model inputs'!C32&lt;=DATE(2026,3,1),DATE(2026,3,1)&lt;=DATE(2027,7,1))),'Model inputs'!F12,"")</f>
      </c>
    </row>
    <row r="1481">
      <c r="A1481" t="inlineStr" s="21">
        <is>
          <t xml:space="preserve">Calculation</t>
        </is>
      </c>
      <c r="B1481">
        <f>IF(IF(AND('Model inputs'!C32&lt;=DATE(2026,4,1),DATE(2026,4,1)&lt;=DATE(2027,7,1))="",FALSE,AND('Model inputs'!C32&lt;=DATE(2026,4,1),DATE(2026,4,1)&lt;=DATE(2027,7,1))),'Model inputs'!G12,"")</f>
      </c>
    </row>
    <row r="1482">
      <c r="A1482" t="inlineStr" s="21">
        <is>
          <t xml:space="preserve">Calculation</t>
        </is>
      </c>
      <c r="B1482">
        <f>IF(IF(AND('Model inputs'!C32&lt;=DATE(2026,5,1),DATE(2026,5,1)&lt;=DATE(2027,7,1))="",FALSE,AND('Model inputs'!C32&lt;=DATE(2026,5,1),DATE(2026,5,1)&lt;=DATE(2027,7,1))),'Model inputs'!H12,"")</f>
      </c>
    </row>
    <row r="1483">
      <c r="A1483" t="inlineStr" s="21">
        <is>
          <t xml:space="preserve">Calculation</t>
        </is>
      </c>
      <c r="B1483">
        <f>IF(IF(AND('Model inputs'!C32&lt;=DATE(2026,6,1),DATE(2026,6,1)&lt;=DATE(2027,7,1))="",FALSE,AND('Model inputs'!C32&lt;=DATE(2026,6,1),DATE(2026,6,1)&lt;=DATE(2027,7,1))),'Model inputs'!I12,"")</f>
      </c>
    </row>
    <row r="1484">
      <c r="A1484" t="inlineStr" s="21">
        <is>
          <t xml:space="preserve">Calculation</t>
        </is>
      </c>
      <c r="B1484">
        <f>IF(IF(AND('Model inputs'!C32&lt;=DATE(2026,7,1),DATE(2026,7,1)&lt;=DATE(2027,7,1))="",FALSE,AND('Model inputs'!C32&lt;=DATE(2026,7,1),DATE(2026,7,1)&lt;=DATE(2027,7,1))),'Model inputs'!J12,"")</f>
      </c>
    </row>
    <row r="1485">
      <c r="A1485" t="inlineStr" s="21">
        <is>
          <t xml:space="preserve">Calculation</t>
        </is>
      </c>
      <c r="B1485">
        <f>IF(IF(AND('Model inputs'!C32&lt;=DATE(2026,8,1),DATE(2026,8,1)&lt;=DATE(2027,7,1))="",FALSE,AND('Model inputs'!C32&lt;=DATE(2026,8,1),DATE(2026,8,1)&lt;=DATE(2027,7,1))),'Model inputs'!K12,"")</f>
      </c>
    </row>
    <row r="1486">
      <c r="A1486" t="inlineStr" s="21">
        <is>
          <t xml:space="preserve">Calculation</t>
        </is>
      </c>
      <c r="B1486">
        <f>IF(IF(AND('Model inputs'!C32&lt;=DATE(2026,9,1),DATE(2026,9,1)&lt;=DATE(2027,7,1))="",FALSE,AND('Model inputs'!C32&lt;=DATE(2026,9,1),DATE(2026,9,1)&lt;=DATE(2027,7,1))),'Model inputs'!L12,"")</f>
      </c>
    </row>
    <row r="1487">
      <c r="A1487" t="inlineStr" s="21">
        <is>
          <t xml:space="preserve">Calculation</t>
        </is>
      </c>
      <c r="B1487">
        <f>IF(IF(AND('Model inputs'!C32&lt;=DATE(2026,10,1),DATE(2026,10,1)&lt;=DATE(2027,7,1))="",FALSE,AND('Model inputs'!C32&lt;=DATE(2026,10,1),DATE(2026,10,1)&lt;=DATE(2027,7,1))),'Model inputs'!M12,"")</f>
      </c>
    </row>
    <row r="1488">
      <c r="A1488" t="inlineStr" s="21">
        <is>
          <t xml:space="preserve">Calculation</t>
        </is>
      </c>
      <c r="B1488">
        <f>IF(IF(AND('Model inputs'!C32&lt;=DATE(2026,11,1),DATE(2026,11,1)&lt;=DATE(2027,7,1))="",FALSE,AND('Model inputs'!C32&lt;=DATE(2026,11,1),DATE(2026,11,1)&lt;=DATE(2027,7,1))),'Model inputs'!N12,"")</f>
      </c>
    </row>
    <row r="1489">
      <c r="A1489" t="inlineStr" s="21">
        <is>
          <t xml:space="preserve">Calculation</t>
        </is>
      </c>
      <c r="B1489">
        <f>IF(IF(AND('Model inputs'!C32&lt;=DATE(2026,12,1),DATE(2026,12,1)&lt;=DATE(2027,7,1))="",FALSE,AND('Model inputs'!C32&lt;=DATE(2026,12,1),DATE(2026,12,1)&lt;=DATE(2027,7,1))),'Model inputs'!O12,"")</f>
      </c>
    </row>
    <row r="1490">
      <c r="A1490" t="inlineStr" s="21">
        <is>
          <t xml:space="preserve">Calculation</t>
        </is>
      </c>
      <c r="B1490">
        <f>IF(IF(AND('Model inputs'!C32&lt;=DATE(2027,1,1),DATE(2027,1,1)&lt;=DATE(2027,7,1))="",FALSE,AND('Model inputs'!C32&lt;=DATE(2027,1,1),DATE(2027,1,1)&lt;=DATE(2027,7,1))),'Model inputs'!P12,"")</f>
      </c>
    </row>
    <row r="1491">
      <c r="A1491" t="inlineStr" s="21">
        <is>
          <t xml:space="preserve">Calculation</t>
        </is>
      </c>
      <c r="B1491">
        <f>IF(IF(AND('Model inputs'!C32&lt;=DATE(2027,2,1),DATE(2027,2,1)&lt;=DATE(2027,7,1))="",FALSE,AND('Model inputs'!C32&lt;=DATE(2027,2,1),DATE(2027,2,1)&lt;=DATE(2027,7,1))),'Model inputs'!Q12,"")</f>
      </c>
    </row>
    <row r="1492">
      <c r="A1492" t="inlineStr" s="21">
        <is>
          <t xml:space="preserve">Calculation</t>
        </is>
      </c>
      <c r="B1492">
        <f>IF(IF(AND('Model inputs'!C32&lt;=DATE(2027,3,1),DATE(2027,3,1)&lt;=DATE(2027,7,1))="",FALSE,AND('Model inputs'!C32&lt;=DATE(2027,3,1),DATE(2027,3,1)&lt;=DATE(2027,7,1))),'Model inputs'!R12,"")</f>
      </c>
    </row>
    <row r="1493">
      <c r="A1493" t="inlineStr" s="21">
        <is>
          <t xml:space="preserve">Calculation</t>
        </is>
      </c>
      <c r="B1493">
        <f>IF(IF(AND('Model inputs'!C32&lt;=DATE(2027,4,1),DATE(2027,4,1)&lt;=DATE(2027,7,1))="",FALSE,AND('Model inputs'!C32&lt;=DATE(2027,4,1),DATE(2027,4,1)&lt;=DATE(2027,7,1))),'Model inputs'!S12,"")</f>
      </c>
    </row>
    <row r="1494">
      <c r="A1494" t="inlineStr" s="21">
        <is>
          <t xml:space="preserve">Calculation</t>
        </is>
      </c>
      <c r="B1494">
        <f>IF(IF(AND('Model inputs'!C32&lt;=DATE(2027,5,1),DATE(2027,5,1)&lt;=DATE(2027,7,1))="",FALSE,AND('Model inputs'!C32&lt;=DATE(2027,5,1),DATE(2027,5,1)&lt;=DATE(2027,7,1))),'Model inputs'!T12,"")</f>
      </c>
    </row>
    <row r="1495">
      <c r="A1495" t="inlineStr" s="21">
        <is>
          <t xml:space="preserve">Calculation</t>
        </is>
      </c>
      <c r="B1495">
        <f>IF(IF(AND('Model inputs'!C32&lt;=DATE(2027,6,1),DATE(2027,6,1)&lt;=DATE(2027,7,1))="",FALSE,AND('Model inputs'!C32&lt;=DATE(2027,6,1),DATE(2027,6,1)&lt;=DATE(2027,7,1))),'Model inputs'!U12,"")</f>
      </c>
    </row>
    <row r="1496">
      <c r="A1496" t="inlineStr" s="21">
        <is>
          <t xml:space="preserve">Calculation</t>
        </is>
      </c>
      <c r="B1496">
        <f>IF(IF(AND('Model inputs'!C32&lt;=DATE(2027,7,1),DATE(2027,7,1)&lt;=DATE(2027,7,1))="",FALSE,AND('Model inputs'!C32&lt;=DATE(2027,7,1),DATE(2027,7,1)&lt;=DATE(2027,7,1))),'Model inputs'!V12,"")</f>
      </c>
    </row>
    <row r="1497">
      <c r="A1497" t="inlineStr" s="21">
        <is>
          <t xml:space="preserve">Calculation</t>
        </is>
      </c>
      <c r="B1497">
        <f>IF(IF(AND('Model inputs'!C32&lt;=DATE(2027,8,1),DATE(2027,8,1)&lt;=DATE(2027,7,1))="",FALSE,AND('Model inputs'!C32&lt;=DATE(2027,8,1),DATE(2027,8,1)&lt;=DATE(2027,7,1))),'Model inputs'!W12,"")</f>
      </c>
    </row>
    <row r="1498">
      <c r="A1498" t="inlineStr" s="21">
        <is>
          <t xml:space="preserve">Calculation</t>
        </is>
      </c>
      <c r="B1498">
        <f>IF(IF(AND('Model inputs'!C32&lt;=DATE(2027,9,1),DATE(2027,9,1)&lt;=DATE(2027,7,1))="",FALSE,AND('Model inputs'!C32&lt;=DATE(2027,9,1),DATE(2027,9,1)&lt;=DATE(2027,7,1))),'Model inputs'!X12,"")</f>
      </c>
    </row>
    <row r="1499">
      <c r="A1499" t="inlineStr" s="21">
        <is>
          <t xml:space="preserve">Calculation</t>
        </is>
      </c>
      <c r="B1499">
        <f>IF(IF(AND('Model inputs'!C32&lt;=DATE(2027,10,1),DATE(2027,10,1)&lt;=DATE(2027,7,1))="",FALSE,AND('Model inputs'!C32&lt;=DATE(2027,10,1),DATE(2027,10,1)&lt;=DATE(2027,7,1))),'Model inputs'!Y12,"")</f>
      </c>
    </row>
    <row r="1500">
      <c r="A1500" t="inlineStr" s="21">
        <is>
          <t xml:space="preserve">Calculation</t>
        </is>
      </c>
      <c r="B1500">
        <f>IF(IF(AND('Model inputs'!C32&lt;=DATE(2027,11,1),DATE(2027,11,1)&lt;=DATE(2027,7,1))="",FALSE,AND('Model inputs'!C32&lt;=DATE(2027,11,1),DATE(2027,11,1)&lt;=DATE(2027,7,1))),'Model inputs'!Z12,"")</f>
      </c>
    </row>
    <row r="1501">
      <c r="A1501" t="inlineStr" s="21">
        <is>
          <t xml:space="preserve">Calculation</t>
        </is>
      </c>
      <c r="B1501">
        <f>IF(IF(AND('Model inputs'!C32&lt;=DATE(2027,12,1),DATE(2027,12,1)&lt;=DATE(2027,7,1))="",FALSE,AND('Model inputs'!C32&lt;=DATE(2027,12,1),DATE(2027,12,1)&lt;=DATE(2027,7,1))),'Model inputs'!AA12,"")</f>
      </c>
    </row>
    <row r="1502">
      <c r="A1502" t="inlineStr" s="21">
        <is>
          <t xml:space="preserve">Calculation</t>
        </is>
      </c>
      <c r="B1502">
        <f>IF(IF(AND('Model inputs'!C32&lt;=DATE(2028,1,1),DATE(2028,1,1)&lt;=DATE(2027,7,1))="",FALSE,AND('Model inputs'!C32&lt;=DATE(2028,1,1),DATE(2028,1,1)&lt;=DATE(2027,7,1))),'Model inputs'!AB12,"")</f>
      </c>
    </row>
    <row r="1503">
      <c r="A1503" t="inlineStr" s="21">
        <is>
          <t xml:space="preserve">Calculation</t>
        </is>
      </c>
      <c r="B1503">
        <f>IF(IF(AND('Model inputs'!C32&lt;=DATE(2028,2,1),DATE(2028,2,1)&lt;=DATE(2027,7,1))="",FALSE,AND('Model inputs'!C32&lt;=DATE(2028,2,1),DATE(2028,2,1)&lt;=DATE(2027,7,1))),'Model inputs'!AC12,"")</f>
      </c>
    </row>
    <row r="1504">
      <c r="A1504" t="inlineStr" s="21">
        <is>
          <t xml:space="preserve">Calculation</t>
        </is>
      </c>
      <c r="B1504">
        <f>IF(IF(AND('Model inputs'!C32&lt;=DATE(2028,3,1),DATE(2028,3,1)&lt;=DATE(2027,7,1))="",FALSE,AND('Model inputs'!C32&lt;=DATE(2028,3,1),DATE(2028,3,1)&lt;=DATE(2027,7,1))),'Model inputs'!AD12,"")</f>
      </c>
    </row>
    <row r="1505">
      <c r="A1505" t="inlineStr" s="21">
        <is>
          <t xml:space="preserve">Calculation</t>
        </is>
      </c>
      <c r="B1505">
        <f>IF(IF(AND('Model inputs'!C32&lt;=DATE(2028,4,1),DATE(2028,4,1)&lt;=DATE(2027,7,1))="",FALSE,AND('Model inputs'!C32&lt;=DATE(2028,4,1),DATE(2028,4,1)&lt;=DATE(2027,7,1))),'Model inputs'!AE12,"")</f>
      </c>
    </row>
    <row r="1506">
      <c r="A1506" t="inlineStr" s="21">
        <is>
          <t xml:space="preserve">Calculation</t>
        </is>
      </c>
      <c r="B1506">
        <f>IF(IF(AND('Model inputs'!C32&lt;=DATE(2028,5,1),DATE(2028,5,1)&lt;=DATE(2027,7,1))="",FALSE,AND('Model inputs'!C32&lt;=DATE(2028,5,1),DATE(2028,5,1)&lt;=DATE(2027,7,1))),'Model inputs'!AF12,"")</f>
      </c>
    </row>
    <row r="1507">
      <c r="A1507" t="inlineStr" s="21">
        <is>
          <t xml:space="preserve">Calculation</t>
        </is>
      </c>
      <c r="B1507">
        <f>IF(IF(AND('Model inputs'!C32&lt;=DATE(2028,6,1),DATE(2028,6,1)&lt;=DATE(2027,7,1))="",FALSE,AND('Model inputs'!C32&lt;=DATE(2028,6,1),DATE(2028,6,1)&lt;=DATE(2027,7,1))),'Model inputs'!AG12,"")</f>
      </c>
    </row>
    <row r="1508">
      <c r="A1508" t="inlineStr" s="21">
        <is>
          <t xml:space="preserve">Calculation</t>
        </is>
      </c>
      <c r="B1508">
        <f>IF(IF(AND('Model inputs'!C32&lt;=DATE(2028,7,1),DATE(2028,7,1)&lt;=DATE(2027,7,1))="",FALSE,AND('Model inputs'!C32&lt;=DATE(2028,7,1),DATE(2028,7,1)&lt;=DATE(2027,7,1))),'Model inputs'!AH12,"")</f>
      </c>
    </row>
    <row r="1509">
      <c r="A1509" t="inlineStr" s="21">
        <is>
          <t xml:space="preserve">Calculation</t>
        </is>
      </c>
      <c r="B1509">
        <f>IF(IF(AND('Model inputs'!C32&lt;=DATE(2028,8,1),DATE(2028,8,1)&lt;=DATE(2027,7,1))="",FALSE,AND('Model inputs'!C32&lt;=DATE(2028,8,1),DATE(2028,8,1)&lt;=DATE(2027,7,1))),'Model inputs'!AI12,"")</f>
      </c>
    </row>
    <row r="1510">
      <c r="A1510" t="inlineStr" s="21">
        <is>
          <t xml:space="preserve">Calculation</t>
        </is>
      </c>
      <c r="B1510">
        <f>IF(IF(AND('Model inputs'!C32&lt;=DATE(2028,9,1),DATE(2028,9,1)&lt;=DATE(2027,7,1))="",FALSE,AND('Model inputs'!C32&lt;=DATE(2028,9,1),DATE(2028,9,1)&lt;=DATE(2027,7,1))),'Model inputs'!AJ12,"")</f>
      </c>
    </row>
    <row r="1511">
      <c r="A1511" t="inlineStr" s="21">
        <is>
          <t xml:space="preserve">Calculation</t>
        </is>
      </c>
      <c r="B1511">
        <f>IF(AND('Model inputs'!B1478="",'Model inputs'!B1479="",'Model inputs'!B1480="",'Model inputs'!B1481="",'Model inputs'!B1482="",'Model inputs'!B1483="",'Model inputs'!B1484="",'Model inputs'!B1485="",'Model inputs'!B1486="",'Model inputs'!B1487="",'Model inputs'!B1488="",'Model inputs'!B1489="",'Model inputs'!B1490="",'Model inputs'!B1491="",'Model inputs'!B1492="",'Model inputs'!B1493="",'Model inputs'!B1494="",'Model inputs'!B1495="",'Model inputs'!B1496="",'Model inputs'!B1497="",'Model inputs'!B1498="",'Model inputs'!B1499="",'Model inputs'!B1500="",'Model inputs'!B1501="",'Model inputs'!B1502="",'Model inputs'!B1503="",'Model inputs'!B1504="",'Model inputs'!B1505="",'Model inputs'!B1506="",'Model inputs'!B1507="",'Model inputs'!B1508="",'Model inputs'!B1509="",'Model inputs'!B1510=""),"",MIN('Model inputs'!B1478,'Model inputs'!B1479,'Model inputs'!B1480,'Model inputs'!B1481,'Model inputs'!B1482,'Model inputs'!B1483,'Model inputs'!B1484,'Model inputs'!B1485,'Model inputs'!B1486,'Model inputs'!B1487,'Model inputs'!B1488,'Model inputs'!B1489,'Model inputs'!B1490,'Model inputs'!B1491,'Model inputs'!B1492,'Model inputs'!B1493,'Model inputs'!B1494,'Model inputs'!B1495,'Model inputs'!B1496,'Model inputs'!B1497,'Model inputs'!B1498,'Model inputs'!B1499,'Model inputs'!B1500,'Model inputs'!B1501,'Model inputs'!B1502,'Model inputs'!B1503,'Model inputs'!B1504,'Model inputs'!B1505,'Model inputs'!B1506,'Model inputs'!B1507,'Model inputs'!B1508,'Model inputs'!B1509,'Model inputs'!B1510))</f>
      </c>
    </row>
    <row r="1512">
      <c r="A1512" t="inlineStr" s="21">
        <is>
          <t xml:space="preserve">Calculation</t>
        </is>
      </c>
      <c r="B1512">
        <f>IF(IF(AND('Model inputs'!C32&lt;=DATE(2026,1,1),DATE(2026,1,1)&lt;=DATE(2027,8,1))="",FALSE,AND('Model inputs'!C32&lt;=DATE(2026,1,1),DATE(2026,1,1)&lt;=DATE(2027,8,1))),'Model inputs'!D12,"")</f>
      </c>
    </row>
    <row r="1513">
      <c r="A1513" t="inlineStr" s="21">
        <is>
          <t xml:space="preserve">Calculation</t>
        </is>
      </c>
      <c r="B1513">
        <f>IF(IF(AND('Model inputs'!C32&lt;=DATE(2026,2,1),DATE(2026,2,1)&lt;=DATE(2027,8,1))="",FALSE,AND('Model inputs'!C32&lt;=DATE(2026,2,1),DATE(2026,2,1)&lt;=DATE(2027,8,1))),'Model inputs'!E12,"")</f>
      </c>
    </row>
    <row r="1514">
      <c r="A1514" t="inlineStr" s="21">
        <is>
          <t xml:space="preserve">Calculation</t>
        </is>
      </c>
      <c r="B1514">
        <f>IF(IF(AND('Model inputs'!C32&lt;=DATE(2026,3,1),DATE(2026,3,1)&lt;=DATE(2027,8,1))="",FALSE,AND('Model inputs'!C32&lt;=DATE(2026,3,1),DATE(2026,3,1)&lt;=DATE(2027,8,1))),'Model inputs'!F12,"")</f>
      </c>
    </row>
    <row r="1515">
      <c r="A1515" t="inlineStr" s="21">
        <is>
          <t xml:space="preserve">Calculation</t>
        </is>
      </c>
      <c r="B1515">
        <f>IF(IF(AND('Model inputs'!C32&lt;=DATE(2026,4,1),DATE(2026,4,1)&lt;=DATE(2027,8,1))="",FALSE,AND('Model inputs'!C32&lt;=DATE(2026,4,1),DATE(2026,4,1)&lt;=DATE(2027,8,1))),'Model inputs'!G12,"")</f>
      </c>
    </row>
    <row r="1516">
      <c r="A1516" t="inlineStr" s="21">
        <is>
          <t xml:space="preserve">Calculation</t>
        </is>
      </c>
      <c r="B1516">
        <f>IF(IF(AND('Model inputs'!C32&lt;=DATE(2026,5,1),DATE(2026,5,1)&lt;=DATE(2027,8,1))="",FALSE,AND('Model inputs'!C32&lt;=DATE(2026,5,1),DATE(2026,5,1)&lt;=DATE(2027,8,1))),'Model inputs'!H12,"")</f>
      </c>
    </row>
    <row r="1517">
      <c r="A1517" t="inlineStr" s="21">
        <is>
          <t xml:space="preserve">Calculation</t>
        </is>
      </c>
      <c r="B1517">
        <f>IF(IF(AND('Model inputs'!C32&lt;=DATE(2026,6,1),DATE(2026,6,1)&lt;=DATE(2027,8,1))="",FALSE,AND('Model inputs'!C32&lt;=DATE(2026,6,1),DATE(2026,6,1)&lt;=DATE(2027,8,1))),'Model inputs'!I12,"")</f>
      </c>
    </row>
    <row r="1518">
      <c r="A1518" t="inlineStr" s="21">
        <is>
          <t xml:space="preserve">Calculation</t>
        </is>
      </c>
      <c r="B1518">
        <f>IF(IF(AND('Model inputs'!C32&lt;=DATE(2026,7,1),DATE(2026,7,1)&lt;=DATE(2027,8,1))="",FALSE,AND('Model inputs'!C32&lt;=DATE(2026,7,1),DATE(2026,7,1)&lt;=DATE(2027,8,1))),'Model inputs'!J12,"")</f>
      </c>
    </row>
    <row r="1519">
      <c r="A1519" t="inlineStr" s="21">
        <is>
          <t xml:space="preserve">Calculation</t>
        </is>
      </c>
      <c r="B1519">
        <f>IF(IF(AND('Model inputs'!C32&lt;=DATE(2026,8,1),DATE(2026,8,1)&lt;=DATE(2027,8,1))="",FALSE,AND('Model inputs'!C32&lt;=DATE(2026,8,1),DATE(2026,8,1)&lt;=DATE(2027,8,1))),'Model inputs'!K12,"")</f>
      </c>
    </row>
    <row r="1520">
      <c r="A1520" t="inlineStr" s="21">
        <is>
          <t xml:space="preserve">Calculation</t>
        </is>
      </c>
      <c r="B1520">
        <f>IF(IF(AND('Model inputs'!C32&lt;=DATE(2026,9,1),DATE(2026,9,1)&lt;=DATE(2027,8,1))="",FALSE,AND('Model inputs'!C32&lt;=DATE(2026,9,1),DATE(2026,9,1)&lt;=DATE(2027,8,1))),'Model inputs'!L12,"")</f>
      </c>
    </row>
    <row r="1521">
      <c r="A1521" t="inlineStr" s="21">
        <is>
          <t xml:space="preserve">Calculation</t>
        </is>
      </c>
      <c r="B1521">
        <f>IF(IF(AND('Model inputs'!C32&lt;=DATE(2026,10,1),DATE(2026,10,1)&lt;=DATE(2027,8,1))="",FALSE,AND('Model inputs'!C32&lt;=DATE(2026,10,1),DATE(2026,10,1)&lt;=DATE(2027,8,1))),'Model inputs'!M12,"")</f>
      </c>
    </row>
    <row r="1522">
      <c r="A1522" t="inlineStr" s="21">
        <is>
          <t xml:space="preserve">Calculation</t>
        </is>
      </c>
      <c r="B1522">
        <f>IF(IF(AND('Model inputs'!C32&lt;=DATE(2026,11,1),DATE(2026,11,1)&lt;=DATE(2027,8,1))="",FALSE,AND('Model inputs'!C32&lt;=DATE(2026,11,1),DATE(2026,11,1)&lt;=DATE(2027,8,1))),'Model inputs'!N12,"")</f>
      </c>
    </row>
    <row r="1523">
      <c r="A1523" t="inlineStr" s="21">
        <is>
          <t xml:space="preserve">Calculation</t>
        </is>
      </c>
      <c r="B1523">
        <f>IF(IF(AND('Model inputs'!C32&lt;=DATE(2026,12,1),DATE(2026,12,1)&lt;=DATE(2027,8,1))="",FALSE,AND('Model inputs'!C32&lt;=DATE(2026,12,1),DATE(2026,12,1)&lt;=DATE(2027,8,1))),'Model inputs'!O12,"")</f>
      </c>
    </row>
    <row r="1524">
      <c r="A1524" t="inlineStr" s="21">
        <is>
          <t xml:space="preserve">Calculation</t>
        </is>
      </c>
      <c r="B1524">
        <f>IF(IF(AND('Model inputs'!C32&lt;=DATE(2027,1,1),DATE(2027,1,1)&lt;=DATE(2027,8,1))="",FALSE,AND('Model inputs'!C32&lt;=DATE(2027,1,1),DATE(2027,1,1)&lt;=DATE(2027,8,1))),'Model inputs'!P12,"")</f>
      </c>
    </row>
    <row r="1525">
      <c r="A1525" t="inlineStr" s="21">
        <is>
          <t xml:space="preserve">Calculation</t>
        </is>
      </c>
      <c r="B1525">
        <f>IF(IF(AND('Model inputs'!C32&lt;=DATE(2027,2,1),DATE(2027,2,1)&lt;=DATE(2027,8,1))="",FALSE,AND('Model inputs'!C32&lt;=DATE(2027,2,1),DATE(2027,2,1)&lt;=DATE(2027,8,1))),'Model inputs'!Q12,"")</f>
      </c>
    </row>
    <row r="1526">
      <c r="A1526" t="inlineStr" s="21">
        <is>
          <t xml:space="preserve">Calculation</t>
        </is>
      </c>
      <c r="B1526">
        <f>IF(IF(AND('Model inputs'!C32&lt;=DATE(2027,3,1),DATE(2027,3,1)&lt;=DATE(2027,8,1))="",FALSE,AND('Model inputs'!C32&lt;=DATE(2027,3,1),DATE(2027,3,1)&lt;=DATE(2027,8,1))),'Model inputs'!R12,"")</f>
      </c>
    </row>
    <row r="1527">
      <c r="A1527" t="inlineStr" s="21">
        <is>
          <t xml:space="preserve">Calculation</t>
        </is>
      </c>
      <c r="B1527">
        <f>IF(IF(AND('Model inputs'!C32&lt;=DATE(2027,4,1),DATE(2027,4,1)&lt;=DATE(2027,8,1))="",FALSE,AND('Model inputs'!C32&lt;=DATE(2027,4,1),DATE(2027,4,1)&lt;=DATE(2027,8,1))),'Model inputs'!S12,"")</f>
      </c>
    </row>
    <row r="1528">
      <c r="A1528" t="inlineStr" s="21">
        <is>
          <t xml:space="preserve">Calculation</t>
        </is>
      </c>
      <c r="B1528">
        <f>IF(IF(AND('Model inputs'!C32&lt;=DATE(2027,5,1),DATE(2027,5,1)&lt;=DATE(2027,8,1))="",FALSE,AND('Model inputs'!C32&lt;=DATE(2027,5,1),DATE(2027,5,1)&lt;=DATE(2027,8,1))),'Model inputs'!T12,"")</f>
      </c>
    </row>
    <row r="1529">
      <c r="A1529" t="inlineStr" s="21">
        <is>
          <t xml:space="preserve">Calculation</t>
        </is>
      </c>
      <c r="B1529">
        <f>IF(IF(AND('Model inputs'!C32&lt;=DATE(2027,6,1),DATE(2027,6,1)&lt;=DATE(2027,8,1))="",FALSE,AND('Model inputs'!C32&lt;=DATE(2027,6,1),DATE(2027,6,1)&lt;=DATE(2027,8,1))),'Model inputs'!U12,"")</f>
      </c>
    </row>
    <row r="1530">
      <c r="A1530" t="inlineStr" s="21">
        <is>
          <t xml:space="preserve">Calculation</t>
        </is>
      </c>
      <c r="B1530">
        <f>IF(IF(AND('Model inputs'!C32&lt;=DATE(2027,7,1),DATE(2027,7,1)&lt;=DATE(2027,8,1))="",FALSE,AND('Model inputs'!C32&lt;=DATE(2027,7,1),DATE(2027,7,1)&lt;=DATE(2027,8,1))),'Model inputs'!V12,"")</f>
      </c>
    </row>
    <row r="1531">
      <c r="A1531" t="inlineStr" s="21">
        <is>
          <t xml:space="preserve">Calculation</t>
        </is>
      </c>
      <c r="B1531">
        <f>IF(IF(AND('Model inputs'!C32&lt;=DATE(2027,8,1),DATE(2027,8,1)&lt;=DATE(2027,8,1))="",FALSE,AND('Model inputs'!C32&lt;=DATE(2027,8,1),DATE(2027,8,1)&lt;=DATE(2027,8,1))),'Model inputs'!W12,"")</f>
      </c>
    </row>
    <row r="1532">
      <c r="A1532" t="inlineStr" s="21">
        <is>
          <t xml:space="preserve">Calculation</t>
        </is>
      </c>
      <c r="B1532">
        <f>IF(IF(AND('Model inputs'!C32&lt;=DATE(2027,9,1),DATE(2027,9,1)&lt;=DATE(2027,8,1))="",FALSE,AND('Model inputs'!C32&lt;=DATE(2027,9,1),DATE(2027,9,1)&lt;=DATE(2027,8,1))),'Model inputs'!X12,"")</f>
      </c>
    </row>
    <row r="1533">
      <c r="A1533" t="inlineStr" s="21">
        <is>
          <t xml:space="preserve">Calculation</t>
        </is>
      </c>
      <c r="B1533">
        <f>IF(IF(AND('Model inputs'!C32&lt;=DATE(2027,10,1),DATE(2027,10,1)&lt;=DATE(2027,8,1))="",FALSE,AND('Model inputs'!C32&lt;=DATE(2027,10,1),DATE(2027,10,1)&lt;=DATE(2027,8,1))),'Model inputs'!Y12,"")</f>
      </c>
    </row>
    <row r="1534">
      <c r="A1534" t="inlineStr" s="21">
        <is>
          <t xml:space="preserve">Calculation</t>
        </is>
      </c>
      <c r="B1534">
        <f>IF(IF(AND('Model inputs'!C32&lt;=DATE(2027,11,1),DATE(2027,11,1)&lt;=DATE(2027,8,1))="",FALSE,AND('Model inputs'!C32&lt;=DATE(2027,11,1),DATE(2027,11,1)&lt;=DATE(2027,8,1))),'Model inputs'!Z12,"")</f>
      </c>
    </row>
    <row r="1535">
      <c r="A1535" t="inlineStr" s="21">
        <is>
          <t xml:space="preserve">Calculation</t>
        </is>
      </c>
      <c r="B1535">
        <f>IF(IF(AND('Model inputs'!C32&lt;=DATE(2027,12,1),DATE(2027,12,1)&lt;=DATE(2027,8,1))="",FALSE,AND('Model inputs'!C32&lt;=DATE(2027,12,1),DATE(2027,12,1)&lt;=DATE(2027,8,1))),'Model inputs'!AA12,"")</f>
      </c>
    </row>
    <row r="1536">
      <c r="A1536" t="inlineStr" s="21">
        <is>
          <t xml:space="preserve">Calculation</t>
        </is>
      </c>
      <c r="B1536">
        <f>IF(IF(AND('Model inputs'!C32&lt;=DATE(2028,1,1),DATE(2028,1,1)&lt;=DATE(2027,8,1))="",FALSE,AND('Model inputs'!C32&lt;=DATE(2028,1,1),DATE(2028,1,1)&lt;=DATE(2027,8,1))),'Model inputs'!AB12,"")</f>
      </c>
    </row>
    <row r="1537">
      <c r="A1537" t="inlineStr" s="21">
        <is>
          <t xml:space="preserve">Calculation</t>
        </is>
      </c>
      <c r="B1537">
        <f>IF(IF(AND('Model inputs'!C32&lt;=DATE(2028,2,1),DATE(2028,2,1)&lt;=DATE(2027,8,1))="",FALSE,AND('Model inputs'!C32&lt;=DATE(2028,2,1),DATE(2028,2,1)&lt;=DATE(2027,8,1))),'Model inputs'!AC12,"")</f>
      </c>
    </row>
    <row r="1538">
      <c r="A1538" t="inlineStr" s="21">
        <is>
          <t xml:space="preserve">Calculation</t>
        </is>
      </c>
      <c r="B1538">
        <f>IF(IF(AND('Model inputs'!C32&lt;=DATE(2028,3,1),DATE(2028,3,1)&lt;=DATE(2027,8,1))="",FALSE,AND('Model inputs'!C32&lt;=DATE(2028,3,1),DATE(2028,3,1)&lt;=DATE(2027,8,1))),'Model inputs'!AD12,"")</f>
      </c>
    </row>
    <row r="1539">
      <c r="A1539" t="inlineStr" s="21">
        <is>
          <t xml:space="preserve">Calculation</t>
        </is>
      </c>
      <c r="B1539">
        <f>IF(IF(AND('Model inputs'!C32&lt;=DATE(2028,4,1),DATE(2028,4,1)&lt;=DATE(2027,8,1))="",FALSE,AND('Model inputs'!C32&lt;=DATE(2028,4,1),DATE(2028,4,1)&lt;=DATE(2027,8,1))),'Model inputs'!AE12,"")</f>
      </c>
    </row>
    <row r="1540">
      <c r="A1540" t="inlineStr" s="21">
        <is>
          <t xml:space="preserve">Calculation</t>
        </is>
      </c>
      <c r="B1540">
        <f>IF(IF(AND('Model inputs'!C32&lt;=DATE(2028,5,1),DATE(2028,5,1)&lt;=DATE(2027,8,1))="",FALSE,AND('Model inputs'!C32&lt;=DATE(2028,5,1),DATE(2028,5,1)&lt;=DATE(2027,8,1))),'Model inputs'!AF12,"")</f>
      </c>
    </row>
    <row r="1541">
      <c r="A1541" t="inlineStr" s="21">
        <is>
          <t xml:space="preserve">Calculation</t>
        </is>
      </c>
      <c r="B1541">
        <f>IF(IF(AND('Model inputs'!C32&lt;=DATE(2028,6,1),DATE(2028,6,1)&lt;=DATE(2027,8,1))="",FALSE,AND('Model inputs'!C32&lt;=DATE(2028,6,1),DATE(2028,6,1)&lt;=DATE(2027,8,1))),'Model inputs'!AG12,"")</f>
      </c>
    </row>
    <row r="1542">
      <c r="A1542" t="inlineStr" s="21">
        <is>
          <t xml:space="preserve">Calculation</t>
        </is>
      </c>
      <c r="B1542">
        <f>IF(IF(AND('Model inputs'!C32&lt;=DATE(2028,7,1),DATE(2028,7,1)&lt;=DATE(2027,8,1))="",FALSE,AND('Model inputs'!C32&lt;=DATE(2028,7,1),DATE(2028,7,1)&lt;=DATE(2027,8,1))),'Model inputs'!AH12,"")</f>
      </c>
    </row>
    <row r="1543">
      <c r="A1543" t="inlineStr" s="21">
        <is>
          <t xml:space="preserve">Calculation</t>
        </is>
      </c>
      <c r="B1543">
        <f>IF(IF(AND('Model inputs'!C32&lt;=DATE(2028,8,1),DATE(2028,8,1)&lt;=DATE(2027,8,1))="",FALSE,AND('Model inputs'!C32&lt;=DATE(2028,8,1),DATE(2028,8,1)&lt;=DATE(2027,8,1))),'Model inputs'!AI12,"")</f>
      </c>
    </row>
    <row r="1544">
      <c r="A1544" t="inlineStr" s="21">
        <is>
          <t xml:space="preserve">Calculation</t>
        </is>
      </c>
      <c r="B1544">
        <f>IF(IF(AND('Model inputs'!C32&lt;=DATE(2028,9,1),DATE(2028,9,1)&lt;=DATE(2027,8,1))="",FALSE,AND('Model inputs'!C32&lt;=DATE(2028,9,1),DATE(2028,9,1)&lt;=DATE(2027,8,1))),'Model inputs'!AJ12,"")</f>
      </c>
    </row>
    <row r="1545">
      <c r="A1545" t="inlineStr" s="21">
        <is>
          <t xml:space="preserve">Calculation</t>
        </is>
      </c>
      <c r="B1545">
        <f>IF(AND('Model inputs'!B1512="",'Model inputs'!B1513="",'Model inputs'!B1514="",'Model inputs'!B1515="",'Model inputs'!B1516="",'Model inputs'!B1517="",'Model inputs'!B1518="",'Model inputs'!B1519="",'Model inputs'!B1520="",'Model inputs'!B1521="",'Model inputs'!B1522="",'Model inputs'!B1523="",'Model inputs'!B1524="",'Model inputs'!B1525="",'Model inputs'!B1526="",'Model inputs'!B1527="",'Model inputs'!B1528="",'Model inputs'!B1529="",'Model inputs'!B1530="",'Model inputs'!B1531="",'Model inputs'!B1532="",'Model inputs'!B1533="",'Model inputs'!B1534="",'Model inputs'!B1535="",'Model inputs'!B1536="",'Model inputs'!B1537="",'Model inputs'!B1538="",'Model inputs'!B1539="",'Model inputs'!B1540="",'Model inputs'!B1541="",'Model inputs'!B1542="",'Model inputs'!B1543="",'Model inputs'!B1544=""),"",MIN('Model inputs'!B1512,'Model inputs'!B1513,'Model inputs'!B1514,'Model inputs'!B1515,'Model inputs'!B1516,'Model inputs'!B1517,'Model inputs'!B1518,'Model inputs'!B1519,'Model inputs'!B1520,'Model inputs'!B1521,'Model inputs'!B1522,'Model inputs'!B1523,'Model inputs'!B1524,'Model inputs'!B1525,'Model inputs'!B1526,'Model inputs'!B1527,'Model inputs'!B1528,'Model inputs'!B1529,'Model inputs'!B1530,'Model inputs'!B1531,'Model inputs'!B1532,'Model inputs'!B1533,'Model inputs'!B1534,'Model inputs'!B1535,'Model inputs'!B1536,'Model inputs'!B1537,'Model inputs'!B1538,'Model inputs'!B1539,'Model inputs'!B1540,'Model inputs'!B1541,'Model inputs'!B1542,'Model inputs'!B1543,'Model inputs'!B1544))</f>
      </c>
    </row>
    <row r="1546">
      <c r="A1546" t="inlineStr" s="21">
        <is>
          <t xml:space="preserve">Calculation</t>
        </is>
      </c>
      <c r="B1546">
        <f>IF(IF(AND('Model inputs'!C32&lt;=DATE(2026,1,1),DATE(2026,1,1)&lt;=DATE(2027,9,1))="",FALSE,AND('Model inputs'!C32&lt;=DATE(2026,1,1),DATE(2026,1,1)&lt;=DATE(2027,9,1))),'Model inputs'!D12,"")</f>
      </c>
    </row>
    <row r="1547">
      <c r="A1547" t="inlineStr" s="21">
        <is>
          <t xml:space="preserve">Calculation</t>
        </is>
      </c>
      <c r="B1547">
        <f>IF(IF(AND('Model inputs'!C32&lt;=DATE(2026,2,1),DATE(2026,2,1)&lt;=DATE(2027,9,1))="",FALSE,AND('Model inputs'!C32&lt;=DATE(2026,2,1),DATE(2026,2,1)&lt;=DATE(2027,9,1))),'Model inputs'!E12,"")</f>
      </c>
    </row>
    <row r="1548">
      <c r="A1548" t="inlineStr" s="21">
        <is>
          <t xml:space="preserve">Calculation</t>
        </is>
      </c>
      <c r="B1548">
        <f>IF(IF(AND('Model inputs'!C32&lt;=DATE(2026,3,1),DATE(2026,3,1)&lt;=DATE(2027,9,1))="",FALSE,AND('Model inputs'!C32&lt;=DATE(2026,3,1),DATE(2026,3,1)&lt;=DATE(2027,9,1))),'Model inputs'!F12,"")</f>
      </c>
    </row>
    <row r="1549">
      <c r="A1549" t="inlineStr" s="21">
        <is>
          <t xml:space="preserve">Calculation</t>
        </is>
      </c>
      <c r="B1549">
        <f>IF(IF(AND('Model inputs'!C32&lt;=DATE(2026,4,1),DATE(2026,4,1)&lt;=DATE(2027,9,1))="",FALSE,AND('Model inputs'!C32&lt;=DATE(2026,4,1),DATE(2026,4,1)&lt;=DATE(2027,9,1))),'Model inputs'!G12,"")</f>
      </c>
    </row>
    <row r="1550">
      <c r="A1550" t="inlineStr" s="21">
        <is>
          <t xml:space="preserve">Calculation</t>
        </is>
      </c>
      <c r="B1550">
        <f>IF(IF(AND('Model inputs'!C32&lt;=DATE(2026,5,1),DATE(2026,5,1)&lt;=DATE(2027,9,1))="",FALSE,AND('Model inputs'!C32&lt;=DATE(2026,5,1),DATE(2026,5,1)&lt;=DATE(2027,9,1))),'Model inputs'!H12,"")</f>
      </c>
    </row>
    <row r="1551">
      <c r="A1551" t="inlineStr" s="21">
        <is>
          <t xml:space="preserve">Calculation</t>
        </is>
      </c>
      <c r="B1551">
        <f>IF(IF(AND('Model inputs'!C32&lt;=DATE(2026,6,1),DATE(2026,6,1)&lt;=DATE(2027,9,1))="",FALSE,AND('Model inputs'!C32&lt;=DATE(2026,6,1),DATE(2026,6,1)&lt;=DATE(2027,9,1))),'Model inputs'!I12,"")</f>
      </c>
    </row>
    <row r="1552">
      <c r="A1552" t="inlineStr" s="21">
        <is>
          <t xml:space="preserve">Calculation</t>
        </is>
      </c>
      <c r="B1552">
        <f>IF(IF(AND('Model inputs'!C32&lt;=DATE(2026,7,1),DATE(2026,7,1)&lt;=DATE(2027,9,1))="",FALSE,AND('Model inputs'!C32&lt;=DATE(2026,7,1),DATE(2026,7,1)&lt;=DATE(2027,9,1))),'Model inputs'!J12,"")</f>
      </c>
    </row>
    <row r="1553">
      <c r="A1553" t="inlineStr" s="21">
        <is>
          <t xml:space="preserve">Calculation</t>
        </is>
      </c>
      <c r="B1553">
        <f>IF(IF(AND('Model inputs'!C32&lt;=DATE(2026,8,1),DATE(2026,8,1)&lt;=DATE(2027,9,1))="",FALSE,AND('Model inputs'!C32&lt;=DATE(2026,8,1),DATE(2026,8,1)&lt;=DATE(2027,9,1))),'Model inputs'!K12,"")</f>
      </c>
    </row>
    <row r="1554">
      <c r="A1554" t="inlineStr" s="21">
        <is>
          <t xml:space="preserve">Calculation</t>
        </is>
      </c>
      <c r="B1554">
        <f>IF(IF(AND('Model inputs'!C32&lt;=DATE(2026,9,1),DATE(2026,9,1)&lt;=DATE(2027,9,1))="",FALSE,AND('Model inputs'!C32&lt;=DATE(2026,9,1),DATE(2026,9,1)&lt;=DATE(2027,9,1))),'Model inputs'!L12,"")</f>
      </c>
    </row>
    <row r="1555">
      <c r="A1555" t="inlineStr" s="21">
        <is>
          <t xml:space="preserve">Calculation</t>
        </is>
      </c>
      <c r="B1555">
        <f>IF(IF(AND('Model inputs'!C32&lt;=DATE(2026,10,1),DATE(2026,10,1)&lt;=DATE(2027,9,1))="",FALSE,AND('Model inputs'!C32&lt;=DATE(2026,10,1),DATE(2026,10,1)&lt;=DATE(2027,9,1))),'Model inputs'!M12,"")</f>
      </c>
    </row>
    <row r="1556">
      <c r="A1556" t="inlineStr" s="21">
        <is>
          <t xml:space="preserve">Calculation</t>
        </is>
      </c>
      <c r="B1556">
        <f>IF(IF(AND('Model inputs'!C32&lt;=DATE(2026,11,1),DATE(2026,11,1)&lt;=DATE(2027,9,1))="",FALSE,AND('Model inputs'!C32&lt;=DATE(2026,11,1),DATE(2026,11,1)&lt;=DATE(2027,9,1))),'Model inputs'!N12,"")</f>
      </c>
    </row>
    <row r="1557">
      <c r="A1557" t="inlineStr" s="21">
        <is>
          <t xml:space="preserve">Calculation</t>
        </is>
      </c>
      <c r="B1557">
        <f>IF(IF(AND('Model inputs'!C32&lt;=DATE(2026,12,1),DATE(2026,12,1)&lt;=DATE(2027,9,1))="",FALSE,AND('Model inputs'!C32&lt;=DATE(2026,12,1),DATE(2026,12,1)&lt;=DATE(2027,9,1))),'Model inputs'!O12,"")</f>
      </c>
    </row>
    <row r="1558">
      <c r="A1558" t="inlineStr" s="21">
        <is>
          <t xml:space="preserve">Calculation</t>
        </is>
      </c>
      <c r="B1558">
        <f>IF(IF(AND('Model inputs'!C32&lt;=DATE(2027,1,1),DATE(2027,1,1)&lt;=DATE(2027,9,1))="",FALSE,AND('Model inputs'!C32&lt;=DATE(2027,1,1),DATE(2027,1,1)&lt;=DATE(2027,9,1))),'Model inputs'!P12,"")</f>
      </c>
    </row>
    <row r="1559">
      <c r="A1559" t="inlineStr" s="21">
        <is>
          <t xml:space="preserve">Calculation</t>
        </is>
      </c>
      <c r="B1559">
        <f>IF(IF(AND('Model inputs'!C32&lt;=DATE(2027,2,1),DATE(2027,2,1)&lt;=DATE(2027,9,1))="",FALSE,AND('Model inputs'!C32&lt;=DATE(2027,2,1),DATE(2027,2,1)&lt;=DATE(2027,9,1))),'Model inputs'!Q12,"")</f>
      </c>
    </row>
    <row r="1560">
      <c r="A1560" t="inlineStr" s="21">
        <is>
          <t xml:space="preserve">Calculation</t>
        </is>
      </c>
      <c r="B1560">
        <f>IF(IF(AND('Model inputs'!C32&lt;=DATE(2027,3,1),DATE(2027,3,1)&lt;=DATE(2027,9,1))="",FALSE,AND('Model inputs'!C32&lt;=DATE(2027,3,1),DATE(2027,3,1)&lt;=DATE(2027,9,1))),'Model inputs'!R12,"")</f>
      </c>
    </row>
    <row r="1561">
      <c r="A1561" t="inlineStr" s="21">
        <is>
          <t xml:space="preserve">Calculation</t>
        </is>
      </c>
      <c r="B1561">
        <f>IF(IF(AND('Model inputs'!C32&lt;=DATE(2027,4,1),DATE(2027,4,1)&lt;=DATE(2027,9,1))="",FALSE,AND('Model inputs'!C32&lt;=DATE(2027,4,1),DATE(2027,4,1)&lt;=DATE(2027,9,1))),'Model inputs'!S12,"")</f>
      </c>
    </row>
    <row r="1562">
      <c r="A1562" t="inlineStr" s="21">
        <is>
          <t xml:space="preserve">Calculation</t>
        </is>
      </c>
      <c r="B1562">
        <f>IF(IF(AND('Model inputs'!C32&lt;=DATE(2027,5,1),DATE(2027,5,1)&lt;=DATE(2027,9,1))="",FALSE,AND('Model inputs'!C32&lt;=DATE(2027,5,1),DATE(2027,5,1)&lt;=DATE(2027,9,1))),'Model inputs'!T12,"")</f>
      </c>
    </row>
    <row r="1563">
      <c r="A1563" t="inlineStr" s="21">
        <is>
          <t xml:space="preserve">Calculation</t>
        </is>
      </c>
      <c r="B1563">
        <f>IF(IF(AND('Model inputs'!C32&lt;=DATE(2027,6,1),DATE(2027,6,1)&lt;=DATE(2027,9,1))="",FALSE,AND('Model inputs'!C32&lt;=DATE(2027,6,1),DATE(2027,6,1)&lt;=DATE(2027,9,1))),'Model inputs'!U12,"")</f>
      </c>
    </row>
    <row r="1564">
      <c r="A1564" t="inlineStr" s="21">
        <is>
          <t xml:space="preserve">Calculation</t>
        </is>
      </c>
      <c r="B1564">
        <f>IF(IF(AND('Model inputs'!C32&lt;=DATE(2027,7,1),DATE(2027,7,1)&lt;=DATE(2027,9,1))="",FALSE,AND('Model inputs'!C32&lt;=DATE(2027,7,1),DATE(2027,7,1)&lt;=DATE(2027,9,1))),'Model inputs'!V12,"")</f>
      </c>
    </row>
    <row r="1565">
      <c r="A1565" t="inlineStr" s="21">
        <is>
          <t xml:space="preserve">Calculation</t>
        </is>
      </c>
      <c r="B1565">
        <f>IF(IF(AND('Model inputs'!C32&lt;=DATE(2027,8,1),DATE(2027,8,1)&lt;=DATE(2027,9,1))="",FALSE,AND('Model inputs'!C32&lt;=DATE(2027,8,1),DATE(2027,8,1)&lt;=DATE(2027,9,1))),'Model inputs'!W12,"")</f>
      </c>
    </row>
    <row r="1566">
      <c r="A1566" t="inlineStr" s="21">
        <is>
          <t xml:space="preserve">Calculation</t>
        </is>
      </c>
      <c r="B1566">
        <f>IF(IF(AND('Model inputs'!C32&lt;=DATE(2027,9,1),DATE(2027,9,1)&lt;=DATE(2027,9,1))="",FALSE,AND('Model inputs'!C32&lt;=DATE(2027,9,1),DATE(2027,9,1)&lt;=DATE(2027,9,1))),'Model inputs'!X12,"")</f>
      </c>
    </row>
    <row r="1567">
      <c r="A1567" t="inlineStr" s="21">
        <is>
          <t xml:space="preserve">Calculation</t>
        </is>
      </c>
      <c r="B1567">
        <f>IF(IF(AND('Model inputs'!C32&lt;=DATE(2027,10,1),DATE(2027,10,1)&lt;=DATE(2027,9,1))="",FALSE,AND('Model inputs'!C32&lt;=DATE(2027,10,1),DATE(2027,10,1)&lt;=DATE(2027,9,1))),'Model inputs'!Y12,"")</f>
      </c>
    </row>
    <row r="1568">
      <c r="A1568" t="inlineStr" s="21">
        <is>
          <t xml:space="preserve">Calculation</t>
        </is>
      </c>
      <c r="B1568">
        <f>IF(IF(AND('Model inputs'!C32&lt;=DATE(2027,11,1),DATE(2027,11,1)&lt;=DATE(2027,9,1))="",FALSE,AND('Model inputs'!C32&lt;=DATE(2027,11,1),DATE(2027,11,1)&lt;=DATE(2027,9,1))),'Model inputs'!Z12,"")</f>
      </c>
    </row>
    <row r="1569">
      <c r="A1569" t="inlineStr" s="21">
        <is>
          <t xml:space="preserve">Calculation</t>
        </is>
      </c>
      <c r="B1569">
        <f>IF(IF(AND('Model inputs'!C32&lt;=DATE(2027,12,1),DATE(2027,12,1)&lt;=DATE(2027,9,1))="",FALSE,AND('Model inputs'!C32&lt;=DATE(2027,12,1),DATE(2027,12,1)&lt;=DATE(2027,9,1))),'Model inputs'!AA12,"")</f>
      </c>
    </row>
    <row r="1570">
      <c r="A1570" t="inlineStr" s="21">
        <is>
          <t xml:space="preserve">Calculation</t>
        </is>
      </c>
      <c r="B1570">
        <f>IF(IF(AND('Model inputs'!C32&lt;=DATE(2028,1,1),DATE(2028,1,1)&lt;=DATE(2027,9,1))="",FALSE,AND('Model inputs'!C32&lt;=DATE(2028,1,1),DATE(2028,1,1)&lt;=DATE(2027,9,1))),'Model inputs'!AB12,"")</f>
      </c>
    </row>
    <row r="1571">
      <c r="A1571" t="inlineStr" s="21">
        <is>
          <t xml:space="preserve">Calculation</t>
        </is>
      </c>
      <c r="B1571">
        <f>IF(IF(AND('Model inputs'!C32&lt;=DATE(2028,2,1),DATE(2028,2,1)&lt;=DATE(2027,9,1))="",FALSE,AND('Model inputs'!C32&lt;=DATE(2028,2,1),DATE(2028,2,1)&lt;=DATE(2027,9,1))),'Model inputs'!AC12,"")</f>
      </c>
    </row>
    <row r="1572">
      <c r="A1572" t="inlineStr" s="21">
        <is>
          <t xml:space="preserve">Calculation</t>
        </is>
      </c>
      <c r="B1572">
        <f>IF(IF(AND('Model inputs'!C32&lt;=DATE(2028,3,1),DATE(2028,3,1)&lt;=DATE(2027,9,1))="",FALSE,AND('Model inputs'!C32&lt;=DATE(2028,3,1),DATE(2028,3,1)&lt;=DATE(2027,9,1))),'Model inputs'!AD12,"")</f>
      </c>
    </row>
    <row r="1573">
      <c r="A1573" t="inlineStr" s="21">
        <is>
          <t xml:space="preserve">Calculation</t>
        </is>
      </c>
      <c r="B1573">
        <f>IF(IF(AND('Model inputs'!C32&lt;=DATE(2028,4,1),DATE(2028,4,1)&lt;=DATE(2027,9,1))="",FALSE,AND('Model inputs'!C32&lt;=DATE(2028,4,1),DATE(2028,4,1)&lt;=DATE(2027,9,1))),'Model inputs'!AE12,"")</f>
      </c>
    </row>
    <row r="1574">
      <c r="A1574" t="inlineStr" s="21">
        <is>
          <t xml:space="preserve">Calculation</t>
        </is>
      </c>
      <c r="B1574">
        <f>IF(IF(AND('Model inputs'!C32&lt;=DATE(2028,5,1),DATE(2028,5,1)&lt;=DATE(2027,9,1))="",FALSE,AND('Model inputs'!C32&lt;=DATE(2028,5,1),DATE(2028,5,1)&lt;=DATE(2027,9,1))),'Model inputs'!AF12,"")</f>
      </c>
    </row>
    <row r="1575">
      <c r="A1575" t="inlineStr" s="21">
        <is>
          <t xml:space="preserve">Calculation</t>
        </is>
      </c>
      <c r="B1575">
        <f>IF(IF(AND('Model inputs'!C32&lt;=DATE(2028,6,1),DATE(2028,6,1)&lt;=DATE(2027,9,1))="",FALSE,AND('Model inputs'!C32&lt;=DATE(2028,6,1),DATE(2028,6,1)&lt;=DATE(2027,9,1))),'Model inputs'!AG12,"")</f>
      </c>
    </row>
    <row r="1576">
      <c r="A1576" t="inlineStr" s="21">
        <is>
          <t xml:space="preserve">Calculation</t>
        </is>
      </c>
      <c r="B1576">
        <f>IF(IF(AND('Model inputs'!C32&lt;=DATE(2028,7,1),DATE(2028,7,1)&lt;=DATE(2027,9,1))="",FALSE,AND('Model inputs'!C32&lt;=DATE(2028,7,1),DATE(2028,7,1)&lt;=DATE(2027,9,1))),'Model inputs'!AH12,"")</f>
      </c>
    </row>
    <row r="1577">
      <c r="A1577" t="inlineStr" s="21">
        <is>
          <t xml:space="preserve">Calculation</t>
        </is>
      </c>
      <c r="B1577">
        <f>IF(IF(AND('Model inputs'!C32&lt;=DATE(2028,8,1),DATE(2028,8,1)&lt;=DATE(2027,9,1))="",FALSE,AND('Model inputs'!C32&lt;=DATE(2028,8,1),DATE(2028,8,1)&lt;=DATE(2027,9,1))),'Model inputs'!AI12,"")</f>
      </c>
    </row>
    <row r="1578">
      <c r="A1578" t="inlineStr" s="21">
        <is>
          <t xml:space="preserve">Calculation</t>
        </is>
      </c>
      <c r="B1578">
        <f>IF(IF(AND('Model inputs'!C32&lt;=DATE(2028,9,1),DATE(2028,9,1)&lt;=DATE(2027,9,1))="",FALSE,AND('Model inputs'!C32&lt;=DATE(2028,9,1),DATE(2028,9,1)&lt;=DATE(2027,9,1))),'Model inputs'!AJ12,"")</f>
      </c>
    </row>
    <row r="1579">
      <c r="A1579" t="inlineStr" s="21">
        <is>
          <t xml:space="preserve">Calculation</t>
        </is>
      </c>
      <c r="B1579">
        <f>IF(AND('Model inputs'!B1546="",'Model inputs'!B1547="",'Model inputs'!B1548="",'Model inputs'!B1549="",'Model inputs'!B1550="",'Model inputs'!B1551="",'Model inputs'!B1552="",'Model inputs'!B1553="",'Model inputs'!B1554="",'Model inputs'!B1555="",'Model inputs'!B1556="",'Model inputs'!B1557="",'Model inputs'!B1558="",'Model inputs'!B1559="",'Model inputs'!B1560="",'Model inputs'!B1561="",'Model inputs'!B1562="",'Model inputs'!B1563="",'Model inputs'!B1564="",'Model inputs'!B1565="",'Model inputs'!B1566="",'Model inputs'!B1567="",'Model inputs'!B1568="",'Model inputs'!B1569="",'Model inputs'!B1570="",'Model inputs'!B1571="",'Model inputs'!B1572="",'Model inputs'!B1573="",'Model inputs'!B1574="",'Model inputs'!B1575="",'Model inputs'!B1576="",'Model inputs'!B1577="",'Model inputs'!B1578=""),"",MIN('Model inputs'!B1546,'Model inputs'!B1547,'Model inputs'!B1548,'Model inputs'!B1549,'Model inputs'!B1550,'Model inputs'!B1551,'Model inputs'!B1552,'Model inputs'!B1553,'Model inputs'!B1554,'Model inputs'!B1555,'Model inputs'!B1556,'Model inputs'!B1557,'Model inputs'!B1558,'Model inputs'!B1559,'Model inputs'!B1560,'Model inputs'!B1561,'Model inputs'!B1562,'Model inputs'!B1563,'Model inputs'!B1564,'Model inputs'!B1565,'Model inputs'!B1566,'Model inputs'!B1567,'Model inputs'!B1568,'Model inputs'!B1569,'Model inputs'!B1570,'Model inputs'!B1571,'Model inputs'!B1572,'Model inputs'!B1573,'Model inputs'!B1574,'Model inputs'!B1575,'Model inputs'!B1576,'Model inputs'!B1577,'Model inputs'!B1578))</f>
      </c>
    </row>
    <row r="1580">
      <c r="A1580" t="inlineStr" s="21">
        <is>
          <t xml:space="preserve">Calculation</t>
        </is>
      </c>
      <c r="B1580">
        <f>IF(IF(AND('Model inputs'!C32&lt;=DATE(2026,1,1),DATE(2026,1,1)&lt;=DATE(2027,10,1))="",FALSE,AND('Model inputs'!C32&lt;=DATE(2026,1,1),DATE(2026,1,1)&lt;=DATE(2027,10,1))),'Model inputs'!D12,"")</f>
      </c>
    </row>
    <row r="1581">
      <c r="A1581" t="inlineStr" s="21">
        <is>
          <t xml:space="preserve">Calculation</t>
        </is>
      </c>
      <c r="B1581">
        <f>IF(IF(AND('Model inputs'!C32&lt;=DATE(2026,2,1),DATE(2026,2,1)&lt;=DATE(2027,10,1))="",FALSE,AND('Model inputs'!C32&lt;=DATE(2026,2,1),DATE(2026,2,1)&lt;=DATE(2027,10,1))),'Model inputs'!E12,"")</f>
      </c>
    </row>
    <row r="1582">
      <c r="A1582" t="inlineStr" s="21">
        <is>
          <t xml:space="preserve">Calculation</t>
        </is>
      </c>
      <c r="B1582">
        <f>IF(IF(AND('Model inputs'!C32&lt;=DATE(2026,3,1),DATE(2026,3,1)&lt;=DATE(2027,10,1))="",FALSE,AND('Model inputs'!C32&lt;=DATE(2026,3,1),DATE(2026,3,1)&lt;=DATE(2027,10,1))),'Model inputs'!F12,"")</f>
      </c>
    </row>
    <row r="1583">
      <c r="A1583" t="inlineStr" s="21">
        <is>
          <t xml:space="preserve">Calculation</t>
        </is>
      </c>
      <c r="B1583">
        <f>IF(IF(AND('Model inputs'!C32&lt;=DATE(2026,4,1),DATE(2026,4,1)&lt;=DATE(2027,10,1))="",FALSE,AND('Model inputs'!C32&lt;=DATE(2026,4,1),DATE(2026,4,1)&lt;=DATE(2027,10,1))),'Model inputs'!G12,"")</f>
      </c>
    </row>
    <row r="1584">
      <c r="A1584" t="inlineStr" s="21">
        <is>
          <t xml:space="preserve">Calculation</t>
        </is>
      </c>
      <c r="B1584">
        <f>IF(IF(AND('Model inputs'!C32&lt;=DATE(2026,5,1),DATE(2026,5,1)&lt;=DATE(2027,10,1))="",FALSE,AND('Model inputs'!C32&lt;=DATE(2026,5,1),DATE(2026,5,1)&lt;=DATE(2027,10,1))),'Model inputs'!H12,"")</f>
      </c>
    </row>
    <row r="1585">
      <c r="A1585" t="inlineStr" s="21">
        <is>
          <t xml:space="preserve">Calculation</t>
        </is>
      </c>
      <c r="B1585">
        <f>IF(IF(AND('Model inputs'!C32&lt;=DATE(2026,6,1),DATE(2026,6,1)&lt;=DATE(2027,10,1))="",FALSE,AND('Model inputs'!C32&lt;=DATE(2026,6,1),DATE(2026,6,1)&lt;=DATE(2027,10,1))),'Model inputs'!I12,"")</f>
      </c>
    </row>
    <row r="1586">
      <c r="A1586" t="inlineStr" s="21">
        <is>
          <t xml:space="preserve">Calculation</t>
        </is>
      </c>
      <c r="B1586">
        <f>IF(IF(AND('Model inputs'!C32&lt;=DATE(2026,7,1),DATE(2026,7,1)&lt;=DATE(2027,10,1))="",FALSE,AND('Model inputs'!C32&lt;=DATE(2026,7,1),DATE(2026,7,1)&lt;=DATE(2027,10,1))),'Model inputs'!J12,"")</f>
      </c>
    </row>
    <row r="1587">
      <c r="A1587" t="inlineStr" s="21">
        <is>
          <t xml:space="preserve">Calculation</t>
        </is>
      </c>
      <c r="B1587">
        <f>IF(IF(AND('Model inputs'!C32&lt;=DATE(2026,8,1),DATE(2026,8,1)&lt;=DATE(2027,10,1))="",FALSE,AND('Model inputs'!C32&lt;=DATE(2026,8,1),DATE(2026,8,1)&lt;=DATE(2027,10,1))),'Model inputs'!K12,"")</f>
      </c>
    </row>
    <row r="1588">
      <c r="A1588" t="inlineStr" s="21">
        <is>
          <t xml:space="preserve">Calculation</t>
        </is>
      </c>
      <c r="B1588">
        <f>IF(IF(AND('Model inputs'!C32&lt;=DATE(2026,9,1),DATE(2026,9,1)&lt;=DATE(2027,10,1))="",FALSE,AND('Model inputs'!C32&lt;=DATE(2026,9,1),DATE(2026,9,1)&lt;=DATE(2027,10,1))),'Model inputs'!L12,"")</f>
      </c>
    </row>
    <row r="1589">
      <c r="A1589" t="inlineStr" s="21">
        <is>
          <t xml:space="preserve">Calculation</t>
        </is>
      </c>
      <c r="B1589">
        <f>IF(IF(AND('Model inputs'!C32&lt;=DATE(2026,10,1),DATE(2026,10,1)&lt;=DATE(2027,10,1))="",FALSE,AND('Model inputs'!C32&lt;=DATE(2026,10,1),DATE(2026,10,1)&lt;=DATE(2027,10,1))),'Model inputs'!M12,"")</f>
      </c>
    </row>
    <row r="1590">
      <c r="A1590" t="inlineStr" s="21">
        <is>
          <t xml:space="preserve">Calculation</t>
        </is>
      </c>
      <c r="B1590">
        <f>IF(IF(AND('Model inputs'!C32&lt;=DATE(2026,11,1),DATE(2026,11,1)&lt;=DATE(2027,10,1))="",FALSE,AND('Model inputs'!C32&lt;=DATE(2026,11,1),DATE(2026,11,1)&lt;=DATE(2027,10,1))),'Model inputs'!N12,"")</f>
      </c>
    </row>
    <row r="1591">
      <c r="A1591" t="inlineStr" s="21">
        <is>
          <t xml:space="preserve">Calculation</t>
        </is>
      </c>
      <c r="B1591">
        <f>IF(IF(AND('Model inputs'!C32&lt;=DATE(2026,12,1),DATE(2026,12,1)&lt;=DATE(2027,10,1))="",FALSE,AND('Model inputs'!C32&lt;=DATE(2026,12,1),DATE(2026,12,1)&lt;=DATE(2027,10,1))),'Model inputs'!O12,"")</f>
      </c>
    </row>
    <row r="1592">
      <c r="A1592" t="inlineStr" s="21">
        <is>
          <t xml:space="preserve">Calculation</t>
        </is>
      </c>
      <c r="B1592">
        <f>IF(IF(AND('Model inputs'!C32&lt;=DATE(2027,1,1),DATE(2027,1,1)&lt;=DATE(2027,10,1))="",FALSE,AND('Model inputs'!C32&lt;=DATE(2027,1,1),DATE(2027,1,1)&lt;=DATE(2027,10,1))),'Model inputs'!P12,"")</f>
      </c>
    </row>
    <row r="1593">
      <c r="A1593" t="inlineStr" s="21">
        <is>
          <t xml:space="preserve">Calculation</t>
        </is>
      </c>
      <c r="B1593">
        <f>IF(IF(AND('Model inputs'!C32&lt;=DATE(2027,2,1),DATE(2027,2,1)&lt;=DATE(2027,10,1))="",FALSE,AND('Model inputs'!C32&lt;=DATE(2027,2,1),DATE(2027,2,1)&lt;=DATE(2027,10,1))),'Model inputs'!Q12,"")</f>
      </c>
    </row>
    <row r="1594">
      <c r="A1594" t="inlineStr" s="21">
        <is>
          <t xml:space="preserve">Calculation</t>
        </is>
      </c>
      <c r="B1594">
        <f>IF(IF(AND('Model inputs'!C32&lt;=DATE(2027,3,1),DATE(2027,3,1)&lt;=DATE(2027,10,1))="",FALSE,AND('Model inputs'!C32&lt;=DATE(2027,3,1),DATE(2027,3,1)&lt;=DATE(2027,10,1))),'Model inputs'!R12,"")</f>
      </c>
    </row>
    <row r="1595">
      <c r="A1595" t="inlineStr" s="21">
        <is>
          <t xml:space="preserve">Calculation</t>
        </is>
      </c>
      <c r="B1595">
        <f>IF(IF(AND('Model inputs'!C32&lt;=DATE(2027,4,1),DATE(2027,4,1)&lt;=DATE(2027,10,1))="",FALSE,AND('Model inputs'!C32&lt;=DATE(2027,4,1),DATE(2027,4,1)&lt;=DATE(2027,10,1))),'Model inputs'!S12,"")</f>
      </c>
    </row>
    <row r="1596">
      <c r="A1596" t="inlineStr" s="21">
        <is>
          <t xml:space="preserve">Calculation</t>
        </is>
      </c>
      <c r="B1596">
        <f>IF(IF(AND('Model inputs'!C32&lt;=DATE(2027,5,1),DATE(2027,5,1)&lt;=DATE(2027,10,1))="",FALSE,AND('Model inputs'!C32&lt;=DATE(2027,5,1),DATE(2027,5,1)&lt;=DATE(2027,10,1))),'Model inputs'!T12,"")</f>
      </c>
    </row>
    <row r="1597">
      <c r="A1597" t="inlineStr" s="21">
        <is>
          <t xml:space="preserve">Calculation</t>
        </is>
      </c>
      <c r="B1597">
        <f>IF(IF(AND('Model inputs'!C32&lt;=DATE(2027,6,1),DATE(2027,6,1)&lt;=DATE(2027,10,1))="",FALSE,AND('Model inputs'!C32&lt;=DATE(2027,6,1),DATE(2027,6,1)&lt;=DATE(2027,10,1))),'Model inputs'!U12,"")</f>
      </c>
    </row>
    <row r="1598">
      <c r="A1598" t="inlineStr" s="21">
        <is>
          <t xml:space="preserve">Calculation</t>
        </is>
      </c>
      <c r="B1598">
        <f>IF(IF(AND('Model inputs'!C32&lt;=DATE(2027,7,1),DATE(2027,7,1)&lt;=DATE(2027,10,1))="",FALSE,AND('Model inputs'!C32&lt;=DATE(2027,7,1),DATE(2027,7,1)&lt;=DATE(2027,10,1))),'Model inputs'!V12,"")</f>
      </c>
    </row>
    <row r="1599">
      <c r="A1599" t="inlineStr" s="21">
        <is>
          <t xml:space="preserve">Calculation</t>
        </is>
      </c>
      <c r="B1599">
        <f>IF(IF(AND('Model inputs'!C32&lt;=DATE(2027,8,1),DATE(2027,8,1)&lt;=DATE(2027,10,1))="",FALSE,AND('Model inputs'!C32&lt;=DATE(2027,8,1),DATE(2027,8,1)&lt;=DATE(2027,10,1))),'Model inputs'!W12,"")</f>
      </c>
    </row>
    <row r="1600">
      <c r="A1600" t="inlineStr" s="21">
        <is>
          <t xml:space="preserve">Calculation</t>
        </is>
      </c>
      <c r="B1600">
        <f>IF(IF(AND('Model inputs'!C32&lt;=DATE(2027,9,1),DATE(2027,9,1)&lt;=DATE(2027,10,1))="",FALSE,AND('Model inputs'!C32&lt;=DATE(2027,9,1),DATE(2027,9,1)&lt;=DATE(2027,10,1))),'Model inputs'!X12,"")</f>
      </c>
    </row>
    <row r="1601">
      <c r="A1601" t="inlineStr" s="21">
        <is>
          <t xml:space="preserve">Calculation</t>
        </is>
      </c>
      <c r="B1601">
        <f>IF(IF(AND('Model inputs'!C32&lt;=DATE(2027,10,1),DATE(2027,10,1)&lt;=DATE(2027,10,1))="",FALSE,AND('Model inputs'!C32&lt;=DATE(2027,10,1),DATE(2027,10,1)&lt;=DATE(2027,10,1))),'Model inputs'!Y12,"")</f>
      </c>
    </row>
    <row r="1602">
      <c r="A1602" t="inlineStr" s="21">
        <is>
          <t xml:space="preserve">Calculation</t>
        </is>
      </c>
      <c r="B1602">
        <f>IF(IF(AND('Model inputs'!C32&lt;=DATE(2027,11,1),DATE(2027,11,1)&lt;=DATE(2027,10,1))="",FALSE,AND('Model inputs'!C32&lt;=DATE(2027,11,1),DATE(2027,11,1)&lt;=DATE(2027,10,1))),'Model inputs'!Z12,"")</f>
      </c>
    </row>
    <row r="1603">
      <c r="A1603" t="inlineStr" s="21">
        <is>
          <t xml:space="preserve">Calculation</t>
        </is>
      </c>
      <c r="B1603">
        <f>IF(IF(AND('Model inputs'!C32&lt;=DATE(2027,12,1),DATE(2027,12,1)&lt;=DATE(2027,10,1))="",FALSE,AND('Model inputs'!C32&lt;=DATE(2027,12,1),DATE(2027,12,1)&lt;=DATE(2027,10,1))),'Model inputs'!AA12,"")</f>
      </c>
    </row>
    <row r="1604">
      <c r="A1604" t="inlineStr" s="21">
        <is>
          <t xml:space="preserve">Calculation</t>
        </is>
      </c>
      <c r="B1604">
        <f>IF(IF(AND('Model inputs'!C32&lt;=DATE(2028,1,1),DATE(2028,1,1)&lt;=DATE(2027,10,1))="",FALSE,AND('Model inputs'!C32&lt;=DATE(2028,1,1),DATE(2028,1,1)&lt;=DATE(2027,10,1))),'Model inputs'!AB12,"")</f>
      </c>
    </row>
    <row r="1605">
      <c r="A1605" t="inlineStr" s="21">
        <is>
          <t xml:space="preserve">Calculation</t>
        </is>
      </c>
      <c r="B1605">
        <f>IF(IF(AND('Model inputs'!C32&lt;=DATE(2028,2,1),DATE(2028,2,1)&lt;=DATE(2027,10,1))="",FALSE,AND('Model inputs'!C32&lt;=DATE(2028,2,1),DATE(2028,2,1)&lt;=DATE(2027,10,1))),'Model inputs'!AC12,"")</f>
      </c>
    </row>
    <row r="1606">
      <c r="A1606" t="inlineStr" s="21">
        <is>
          <t xml:space="preserve">Calculation</t>
        </is>
      </c>
      <c r="B1606">
        <f>IF(IF(AND('Model inputs'!C32&lt;=DATE(2028,3,1),DATE(2028,3,1)&lt;=DATE(2027,10,1))="",FALSE,AND('Model inputs'!C32&lt;=DATE(2028,3,1),DATE(2028,3,1)&lt;=DATE(2027,10,1))),'Model inputs'!AD12,"")</f>
      </c>
    </row>
    <row r="1607">
      <c r="A1607" t="inlineStr" s="21">
        <is>
          <t xml:space="preserve">Calculation</t>
        </is>
      </c>
      <c r="B1607">
        <f>IF(IF(AND('Model inputs'!C32&lt;=DATE(2028,4,1),DATE(2028,4,1)&lt;=DATE(2027,10,1))="",FALSE,AND('Model inputs'!C32&lt;=DATE(2028,4,1),DATE(2028,4,1)&lt;=DATE(2027,10,1))),'Model inputs'!AE12,"")</f>
      </c>
    </row>
    <row r="1608">
      <c r="A1608" t="inlineStr" s="21">
        <is>
          <t xml:space="preserve">Calculation</t>
        </is>
      </c>
      <c r="B1608">
        <f>IF(IF(AND('Model inputs'!C32&lt;=DATE(2028,5,1),DATE(2028,5,1)&lt;=DATE(2027,10,1))="",FALSE,AND('Model inputs'!C32&lt;=DATE(2028,5,1),DATE(2028,5,1)&lt;=DATE(2027,10,1))),'Model inputs'!AF12,"")</f>
      </c>
    </row>
    <row r="1609">
      <c r="A1609" t="inlineStr" s="21">
        <is>
          <t xml:space="preserve">Calculation</t>
        </is>
      </c>
      <c r="B1609">
        <f>IF(IF(AND('Model inputs'!C32&lt;=DATE(2028,6,1),DATE(2028,6,1)&lt;=DATE(2027,10,1))="",FALSE,AND('Model inputs'!C32&lt;=DATE(2028,6,1),DATE(2028,6,1)&lt;=DATE(2027,10,1))),'Model inputs'!AG12,"")</f>
      </c>
    </row>
    <row r="1610">
      <c r="A1610" t="inlineStr" s="21">
        <is>
          <t xml:space="preserve">Calculation</t>
        </is>
      </c>
      <c r="B1610">
        <f>IF(IF(AND('Model inputs'!C32&lt;=DATE(2028,7,1),DATE(2028,7,1)&lt;=DATE(2027,10,1))="",FALSE,AND('Model inputs'!C32&lt;=DATE(2028,7,1),DATE(2028,7,1)&lt;=DATE(2027,10,1))),'Model inputs'!AH12,"")</f>
      </c>
    </row>
    <row r="1611">
      <c r="A1611" t="inlineStr" s="21">
        <is>
          <t xml:space="preserve">Calculation</t>
        </is>
      </c>
      <c r="B1611">
        <f>IF(IF(AND('Model inputs'!C32&lt;=DATE(2028,8,1),DATE(2028,8,1)&lt;=DATE(2027,10,1))="",FALSE,AND('Model inputs'!C32&lt;=DATE(2028,8,1),DATE(2028,8,1)&lt;=DATE(2027,10,1))),'Model inputs'!AI12,"")</f>
      </c>
    </row>
    <row r="1612">
      <c r="A1612" t="inlineStr" s="21">
        <is>
          <t xml:space="preserve">Calculation</t>
        </is>
      </c>
      <c r="B1612">
        <f>IF(IF(AND('Model inputs'!C32&lt;=DATE(2028,9,1),DATE(2028,9,1)&lt;=DATE(2027,10,1))="",FALSE,AND('Model inputs'!C32&lt;=DATE(2028,9,1),DATE(2028,9,1)&lt;=DATE(2027,10,1))),'Model inputs'!AJ12,"")</f>
      </c>
    </row>
    <row r="1613">
      <c r="A1613" t="inlineStr" s="21">
        <is>
          <t xml:space="preserve">Calculation</t>
        </is>
      </c>
      <c r="B1613">
        <f>IF(AND('Model inputs'!B1580="",'Model inputs'!B1581="",'Model inputs'!B1582="",'Model inputs'!B1583="",'Model inputs'!B1584="",'Model inputs'!B1585="",'Model inputs'!B1586="",'Model inputs'!B1587="",'Model inputs'!B1588="",'Model inputs'!B1589="",'Model inputs'!B1590="",'Model inputs'!B1591="",'Model inputs'!B1592="",'Model inputs'!B1593="",'Model inputs'!B1594="",'Model inputs'!B1595="",'Model inputs'!B1596="",'Model inputs'!B1597="",'Model inputs'!B1598="",'Model inputs'!B1599="",'Model inputs'!B1600="",'Model inputs'!B1601="",'Model inputs'!B1602="",'Model inputs'!B1603="",'Model inputs'!B1604="",'Model inputs'!B1605="",'Model inputs'!B1606="",'Model inputs'!B1607="",'Model inputs'!B1608="",'Model inputs'!B1609="",'Model inputs'!B1610="",'Model inputs'!B1611="",'Model inputs'!B1612=""),"",MIN('Model inputs'!B1580,'Model inputs'!B1581,'Model inputs'!B1582,'Model inputs'!B1583,'Model inputs'!B1584,'Model inputs'!B1585,'Model inputs'!B1586,'Model inputs'!B1587,'Model inputs'!B1588,'Model inputs'!B1589,'Model inputs'!B1590,'Model inputs'!B1591,'Model inputs'!B1592,'Model inputs'!B1593,'Model inputs'!B1594,'Model inputs'!B1595,'Model inputs'!B1596,'Model inputs'!B1597,'Model inputs'!B1598,'Model inputs'!B1599,'Model inputs'!B1600,'Model inputs'!B1601,'Model inputs'!B1602,'Model inputs'!B1603,'Model inputs'!B1604,'Model inputs'!B1605,'Model inputs'!B1606,'Model inputs'!B1607,'Model inputs'!B1608,'Model inputs'!B1609,'Model inputs'!B1610,'Model inputs'!B1611,'Model inputs'!B1612))</f>
      </c>
    </row>
    <row r="1614">
      <c r="A1614" t="inlineStr" s="21">
        <is>
          <t xml:space="preserve">Calculation</t>
        </is>
      </c>
      <c r="B1614">
        <f>IF(IF(AND('Model inputs'!C32&lt;=DATE(2026,1,1),DATE(2026,1,1)&lt;=DATE(2027,11,1))="",FALSE,AND('Model inputs'!C32&lt;=DATE(2026,1,1),DATE(2026,1,1)&lt;=DATE(2027,11,1))),'Model inputs'!D12,"")</f>
      </c>
    </row>
    <row r="1615">
      <c r="A1615" t="inlineStr" s="21">
        <is>
          <t xml:space="preserve">Calculation</t>
        </is>
      </c>
      <c r="B1615">
        <f>IF(IF(AND('Model inputs'!C32&lt;=DATE(2026,2,1),DATE(2026,2,1)&lt;=DATE(2027,11,1))="",FALSE,AND('Model inputs'!C32&lt;=DATE(2026,2,1),DATE(2026,2,1)&lt;=DATE(2027,11,1))),'Model inputs'!E12,"")</f>
      </c>
    </row>
    <row r="1616">
      <c r="A1616" t="inlineStr" s="21">
        <is>
          <t xml:space="preserve">Calculation</t>
        </is>
      </c>
      <c r="B1616">
        <f>IF(IF(AND('Model inputs'!C32&lt;=DATE(2026,3,1),DATE(2026,3,1)&lt;=DATE(2027,11,1))="",FALSE,AND('Model inputs'!C32&lt;=DATE(2026,3,1),DATE(2026,3,1)&lt;=DATE(2027,11,1))),'Model inputs'!F12,"")</f>
      </c>
    </row>
    <row r="1617">
      <c r="A1617" t="inlineStr" s="21">
        <is>
          <t xml:space="preserve">Calculation</t>
        </is>
      </c>
      <c r="B1617">
        <f>IF(IF(AND('Model inputs'!C32&lt;=DATE(2026,4,1),DATE(2026,4,1)&lt;=DATE(2027,11,1))="",FALSE,AND('Model inputs'!C32&lt;=DATE(2026,4,1),DATE(2026,4,1)&lt;=DATE(2027,11,1))),'Model inputs'!G12,"")</f>
      </c>
    </row>
    <row r="1618">
      <c r="A1618" t="inlineStr" s="21">
        <is>
          <t xml:space="preserve">Calculation</t>
        </is>
      </c>
      <c r="B1618">
        <f>IF(IF(AND('Model inputs'!C32&lt;=DATE(2026,5,1),DATE(2026,5,1)&lt;=DATE(2027,11,1))="",FALSE,AND('Model inputs'!C32&lt;=DATE(2026,5,1),DATE(2026,5,1)&lt;=DATE(2027,11,1))),'Model inputs'!H12,"")</f>
      </c>
    </row>
    <row r="1619">
      <c r="A1619" t="inlineStr" s="21">
        <is>
          <t xml:space="preserve">Calculation</t>
        </is>
      </c>
      <c r="B1619">
        <f>IF(IF(AND('Model inputs'!C32&lt;=DATE(2026,6,1),DATE(2026,6,1)&lt;=DATE(2027,11,1))="",FALSE,AND('Model inputs'!C32&lt;=DATE(2026,6,1),DATE(2026,6,1)&lt;=DATE(2027,11,1))),'Model inputs'!I12,"")</f>
      </c>
    </row>
    <row r="1620">
      <c r="A1620" t="inlineStr" s="21">
        <is>
          <t xml:space="preserve">Calculation</t>
        </is>
      </c>
      <c r="B1620">
        <f>IF(IF(AND('Model inputs'!C32&lt;=DATE(2026,7,1),DATE(2026,7,1)&lt;=DATE(2027,11,1))="",FALSE,AND('Model inputs'!C32&lt;=DATE(2026,7,1),DATE(2026,7,1)&lt;=DATE(2027,11,1))),'Model inputs'!J12,"")</f>
      </c>
    </row>
    <row r="1621">
      <c r="A1621" t="inlineStr" s="21">
        <is>
          <t xml:space="preserve">Calculation</t>
        </is>
      </c>
      <c r="B1621">
        <f>IF(IF(AND('Model inputs'!C32&lt;=DATE(2026,8,1),DATE(2026,8,1)&lt;=DATE(2027,11,1))="",FALSE,AND('Model inputs'!C32&lt;=DATE(2026,8,1),DATE(2026,8,1)&lt;=DATE(2027,11,1))),'Model inputs'!K12,"")</f>
      </c>
    </row>
    <row r="1622">
      <c r="A1622" t="inlineStr" s="21">
        <is>
          <t xml:space="preserve">Calculation</t>
        </is>
      </c>
      <c r="B1622">
        <f>IF(IF(AND('Model inputs'!C32&lt;=DATE(2026,9,1),DATE(2026,9,1)&lt;=DATE(2027,11,1))="",FALSE,AND('Model inputs'!C32&lt;=DATE(2026,9,1),DATE(2026,9,1)&lt;=DATE(2027,11,1))),'Model inputs'!L12,"")</f>
      </c>
    </row>
    <row r="1623">
      <c r="A1623" t="inlineStr" s="21">
        <is>
          <t xml:space="preserve">Calculation</t>
        </is>
      </c>
      <c r="B1623">
        <f>IF(IF(AND('Model inputs'!C32&lt;=DATE(2026,10,1),DATE(2026,10,1)&lt;=DATE(2027,11,1))="",FALSE,AND('Model inputs'!C32&lt;=DATE(2026,10,1),DATE(2026,10,1)&lt;=DATE(2027,11,1))),'Model inputs'!M12,"")</f>
      </c>
    </row>
    <row r="1624">
      <c r="A1624" t="inlineStr" s="21">
        <is>
          <t xml:space="preserve">Calculation</t>
        </is>
      </c>
      <c r="B1624">
        <f>IF(IF(AND('Model inputs'!C32&lt;=DATE(2026,11,1),DATE(2026,11,1)&lt;=DATE(2027,11,1))="",FALSE,AND('Model inputs'!C32&lt;=DATE(2026,11,1),DATE(2026,11,1)&lt;=DATE(2027,11,1))),'Model inputs'!N12,"")</f>
      </c>
    </row>
    <row r="1625">
      <c r="A1625" t="inlineStr" s="21">
        <is>
          <t xml:space="preserve">Calculation</t>
        </is>
      </c>
      <c r="B1625">
        <f>IF(IF(AND('Model inputs'!C32&lt;=DATE(2026,12,1),DATE(2026,12,1)&lt;=DATE(2027,11,1))="",FALSE,AND('Model inputs'!C32&lt;=DATE(2026,12,1),DATE(2026,12,1)&lt;=DATE(2027,11,1))),'Model inputs'!O12,"")</f>
      </c>
    </row>
    <row r="1626">
      <c r="A1626" t="inlineStr" s="21">
        <is>
          <t xml:space="preserve">Calculation</t>
        </is>
      </c>
      <c r="B1626">
        <f>IF(IF(AND('Model inputs'!C32&lt;=DATE(2027,1,1),DATE(2027,1,1)&lt;=DATE(2027,11,1))="",FALSE,AND('Model inputs'!C32&lt;=DATE(2027,1,1),DATE(2027,1,1)&lt;=DATE(2027,11,1))),'Model inputs'!P12,"")</f>
      </c>
    </row>
    <row r="1627">
      <c r="A1627" t="inlineStr" s="21">
        <is>
          <t xml:space="preserve">Calculation</t>
        </is>
      </c>
      <c r="B1627">
        <f>IF(IF(AND('Model inputs'!C32&lt;=DATE(2027,2,1),DATE(2027,2,1)&lt;=DATE(2027,11,1))="",FALSE,AND('Model inputs'!C32&lt;=DATE(2027,2,1),DATE(2027,2,1)&lt;=DATE(2027,11,1))),'Model inputs'!Q12,"")</f>
      </c>
    </row>
    <row r="1628">
      <c r="A1628" t="inlineStr" s="21">
        <is>
          <t xml:space="preserve">Calculation</t>
        </is>
      </c>
      <c r="B1628">
        <f>IF(IF(AND('Model inputs'!C32&lt;=DATE(2027,3,1),DATE(2027,3,1)&lt;=DATE(2027,11,1))="",FALSE,AND('Model inputs'!C32&lt;=DATE(2027,3,1),DATE(2027,3,1)&lt;=DATE(2027,11,1))),'Model inputs'!R12,"")</f>
      </c>
    </row>
    <row r="1629">
      <c r="A1629" t="inlineStr" s="21">
        <is>
          <t xml:space="preserve">Calculation</t>
        </is>
      </c>
      <c r="B1629">
        <f>IF(IF(AND('Model inputs'!C32&lt;=DATE(2027,4,1),DATE(2027,4,1)&lt;=DATE(2027,11,1))="",FALSE,AND('Model inputs'!C32&lt;=DATE(2027,4,1),DATE(2027,4,1)&lt;=DATE(2027,11,1))),'Model inputs'!S12,"")</f>
      </c>
    </row>
    <row r="1630">
      <c r="A1630" t="inlineStr" s="21">
        <is>
          <t xml:space="preserve">Calculation</t>
        </is>
      </c>
      <c r="B1630">
        <f>IF(IF(AND('Model inputs'!C32&lt;=DATE(2027,5,1),DATE(2027,5,1)&lt;=DATE(2027,11,1))="",FALSE,AND('Model inputs'!C32&lt;=DATE(2027,5,1),DATE(2027,5,1)&lt;=DATE(2027,11,1))),'Model inputs'!T12,"")</f>
      </c>
    </row>
    <row r="1631">
      <c r="A1631" t="inlineStr" s="21">
        <is>
          <t xml:space="preserve">Calculation</t>
        </is>
      </c>
      <c r="B1631">
        <f>IF(IF(AND('Model inputs'!C32&lt;=DATE(2027,6,1),DATE(2027,6,1)&lt;=DATE(2027,11,1))="",FALSE,AND('Model inputs'!C32&lt;=DATE(2027,6,1),DATE(2027,6,1)&lt;=DATE(2027,11,1))),'Model inputs'!U12,"")</f>
      </c>
    </row>
    <row r="1632">
      <c r="A1632" t="inlineStr" s="21">
        <is>
          <t xml:space="preserve">Calculation</t>
        </is>
      </c>
      <c r="B1632">
        <f>IF(IF(AND('Model inputs'!C32&lt;=DATE(2027,7,1),DATE(2027,7,1)&lt;=DATE(2027,11,1))="",FALSE,AND('Model inputs'!C32&lt;=DATE(2027,7,1),DATE(2027,7,1)&lt;=DATE(2027,11,1))),'Model inputs'!V12,"")</f>
      </c>
    </row>
    <row r="1633">
      <c r="A1633" t="inlineStr" s="21">
        <is>
          <t xml:space="preserve">Calculation</t>
        </is>
      </c>
      <c r="B1633">
        <f>IF(IF(AND('Model inputs'!C32&lt;=DATE(2027,8,1),DATE(2027,8,1)&lt;=DATE(2027,11,1))="",FALSE,AND('Model inputs'!C32&lt;=DATE(2027,8,1),DATE(2027,8,1)&lt;=DATE(2027,11,1))),'Model inputs'!W12,"")</f>
      </c>
    </row>
    <row r="1634">
      <c r="A1634" t="inlineStr" s="21">
        <is>
          <t xml:space="preserve">Calculation</t>
        </is>
      </c>
      <c r="B1634">
        <f>IF(IF(AND('Model inputs'!C32&lt;=DATE(2027,9,1),DATE(2027,9,1)&lt;=DATE(2027,11,1))="",FALSE,AND('Model inputs'!C32&lt;=DATE(2027,9,1),DATE(2027,9,1)&lt;=DATE(2027,11,1))),'Model inputs'!X12,"")</f>
      </c>
    </row>
    <row r="1635">
      <c r="A1635" t="inlineStr" s="21">
        <is>
          <t xml:space="preserve">Calculation</t>
        </is>
      </c>
      <c r="B1635">
        <f>IF(IF(AND('Model inputs'!C32&lt;=DATE(2027,10,1),DATE(2027,10,1)&lt;=DATE(2027,11,1))="",FALSE,AND('Model inputs'!C32&lt;=DATE(2027,10,1),DATE(2027,10,1)&lt;=DATE(2027,11,1))),'Model inputs'!Y12,"")</f>
      </c>
    </row>
    <row r="1636">
      <c r="A1636" t="inlineStr" s="21">
        <is>
          <t xml:space="preserve">Calculation</t>
        </is>
      </c>
      <c r="B1636">
        <f>IF(IF(AND('Model inputs'!C32&lt;=DATE(2027,11,1),DATE(2027,11,1)&lt;=DATE(2027,11,1))="",FALSE,AND('Model inputs'!C32&lt;=DATE(2027,11,1),DATE(2027,11,1)&lt;=DATE(2027,11,1))),'Model inputs'!Z12,"")</f>
      </c>
    </row>
    <row r="1637">
      <c r="A1637" t="inlineStr" s="21">
        <is>
          <t xml:space="preserve">Calculation</t>
        </is>
      </c>
      <c r="B1637">
        <f>IF(IF(AND('Model inputs'!C32&lt;=DATE(2027,12,1),DATE(2027,12,1)&lt;=DATE(2027,11,1))="",FALSE,AND('Model inputs'!C32&lt;=DATE(2027,12,1),DATE(2027,12,1)&lt;=DATE(2027,11,1))),'Model inputs'!AA12,"")</f>
      </c>
    </row>
    <row r="1638">
      <c r="A1638" t="inlineStr" s="21">
        <is>
          <t xml:space="preserve">Calculation</t>
        </is>
      </c>
      <c r="B1638">
        <f>IF(IF(AND('Model inputs'!C32&lt;=DATE(2028,1,1),DATE(2028,1,1)&lt;=DATE(2027,11,1))="",FALSE,AND('Model inputs'!C32&lt;=DATE(2028,1,1),DATE(2028,1,1)&lt;=DATE(2027,11,1))),'Model inputs'!AB12,"")</f>
      </c>
    </row>
    <row r="1639">
      <c r="A1639" t="inlineStr" s="21">
        <is>
          <t xml:space="preserve">Calculation</t>
        </is>
      </c>
      <c r="B1639">
        <f>IF(IF(AND('Model inputs'!C32&lt;=DATE(2028,2,1),DATE(2028,2,1)&lt;=DATE(2027,11,1))="",FALSE,AND('Model inputs'!C32&lt;=DATE(2028,2,1),DATE(2028,2,1)&lt;=DATE(2027,11,1))),'Model inputs'!AC12,"")</f>
      </c>
    </row>
    <row r="1640">
      <c r="A1640" t="inlineStr" s="21">
        <is>
          <t xml:space="preserve">Calculation</t>
        </is>
      </c>
      <c r="B1640">
        <f>IF(IF(AND('Model inputs'!C32&lt;=DATE(2028,3,1),DATE(2028,3,1)&lt;=DATE(2027,11,1))="",FALSE,AND('Model inputs'!C32&lt;=DATE(2028,3,1),DATE(2028,3,1)&lt;=DATE(2027,11,1))),'Model inputs'!AD12,"")</f>
      </c>
    </row>
    <row r="1641">
      <c r="A1641" t="inlineStr" s="21">
        <is>
          <t xml:space="preserve">Calculation</t>
        </is>
      </c>
      <c r="B1641">
        <f>IF(IF(AND('Model inputs'!C32&lt;=DATE(2028,4,1),DATE(2028,4,1)&lt;=DATE(2027,11,1))="",FALSE,AND('Model inputs'!C32&lt;=DATE(2028,4,1),DATE(2028,4,1)&lt;=DATE(2027,11,1))),'Model inputs'!AE12,"")</f>
      </c>
    </row>
    <row r="1642">
      <c r="A1642" t="inlineStr" s="21">
        <is>
          <t xml:space="preserve">Calculation</t>
        </is>
      </c>
      <c r="B1642">
        <f>IF(IF(AND('Model inputs'!C32&lt;=DATE(2028,5,1),DATE(2028,5,1)&lt;=DATE(2027,11,1))="",FALSE,AND('Model inputs'!C32&lt;=DATE(2028,5,1),DATE(2028,5,1)&lt;=DATE(2027,11,1))),'Model inputs'!AF12,"")</f>
      </c>
    </row>
    <row r="1643">
      <c r="A1643" t="inlineStr" s="21">
        <is>
          <t xml:space="preserve">Calculation</t>
        </is>
      </c>
      <c r="B1643">
        <f>IF(IF(AND('Model inputs'!C32&lt;=DATE(2028,6,1),DATE(2028,6,1)&lt;=DATE(2027,11,1))="",FALSE,AND('Model inputs'!C32&lt;=DATE(2028,6,1),DATE(2028,6,1)&lt;=DATE(2027,11,1))),'Model inputs'!AG12,"")</f>
      </c>
    </row>
    <row r="1644">
      <c r="A1644" t="inlineStr" s="21">
        <is>
          <t xml:space="preserve">Calculation</t>
        </is>
      </c>
      <c r="B1644">
        <f>IF(IF(AND('Model inputs'!C32&lt;=DATE(2028,7,1),DATE(2028,7,1)&lt;=DATE(2027,11,1))="",FALSE,AND('Model inputs'!C32&lt;=DATE(2028,7,1),DATE(2028,7,1)&lt;=DATE(2027,11,1))),'Model inputs'!AH12,"")</f>
      </c>
    </row>
    <row r="1645">
      <c r="A1645" t="inlineStr" s="21">
        <is>
          <t xml:space="preserve">Calculation</t>
        </is>
      </c>
      <c r="B1645">
        <f>IF(IF(AND('Model inputs'!C32&lt;=DATE(2028,8,1),DATE(2028,8,1)&lt;=DATE(2027,11,1))="",FALSE,AND('Model inputs'!C32&lt;=DATE(2028,8,1),DATE(2028,8,1)&lt;=DATE(2027,11,1))),'Model inputs'!AI12,"")</f>
      </c>
    </row>
    <row r="1646">
      <c r="A1646" t="inlineStr" s="21">
        <is>
          <t xml:space="preserve">Calculation</t>
        </is>
      </c>
      <c r="B1646">
        <f>IF(IF(AND('Model inputs'!C32&lt;=DATE(2028,9,1),DATE(2028,9,1)&lt;=DATE(2027,11,1))="",FALSE,AND('Model inputs'!C32&lt;=DATE(2028,9,1),DATE(2028,9,1)&lt;=DATE(2027,11,1))),'Model inputs'!AJ12,"")</f>
      </c>
    </row>
    <row r="1647">
      <c r="A1647" t="inlineStr" s="21">
        <is>
          <t xml:space="preserve">Calculation</t>
        </is>
      </c>
      <c r="B1647">
        <f>IF(AND('Model inputs'!B1614="",'Model inputs'!B1615="",'Model inputs'!B1616="",'Model inputs'!B1617="",'Model inputs'!B1618="",'Model inputs'!B1619="",'Model inputs'!B1620="",'Model inputs'!B1621="",'Model inputs'!B1622="",'Model inputs'!B1623="",'Model inputs'!B1624="",'Model inputs'!B1625="",'Model inputs'!B1626="",'Model inputs'!B1627="",'Model inputs'!B1628="",'Model inputs'!B1629="",'Model inputs'!B1630="",'Model inputs'!B1631="",'Model inputs'!B1632="",'Model inputs'!B1633="",'Model inputs'!B1634="",'Model inputs'!B1635="",'Model inputs'!B1636="",'Model inputs'!B1637="",'Model inputs'!B1638="",'Model inputs'!B1639="",'Model inputs'!B1640="",'Model inputs'!B1641="",'Model inputs'!B1642="",'Model inputs'!B1643="",'Model inputs'!B1644="",'Model inputs'!B1645="",'Model inputs'!B1646=""),"",MIN('Model inputs'!B1614,'Model inputs'!B1615,'Model inputs'!B1616,'Model inputs'!B1617,'Model inputs'!B1618,'Model inputs'!B1619,'Model inputs'!B1620,'Model inputs'!B1621,'Model inputs'!B1622,'Model inputs'!B1623,'Model inputs'!B1624,'Model inputs'!B1625,'Model inputs'!B1626,'Model inputs'!B1627,'Model inputs'!B1628,'Model inputs'!B1629,'Model inputs'!B1630,'Model inputs'!B1631,'Model inputs'!B1632,'Model inputs'!B1633,'Model inputs'!B1634,'Model inputs'!B1635,'Model inputs'!B1636,'Model inputs'!B1637,'Model inputs'!B1638,'Model inputs'!B1639,'Model inputs'!B1640,'Model inputs'!B1641,'Model inputs'!B1642,'Model inputs'!B1643,'Model inputs'!B1644,'Model inputs'!B1645,'Model inputs'!B1646))</f>
      </c>
    </row>
    <row r="1648">
      <c r="A1648" t="inlineStr" s="21">
        <is>
          <t xml:space="preserve">Calculation</t>
        </is>
      </c>
      <c r="B1648">
        <f>IF(IF(AND('Model inputs'!C32&lt;=DATE(2026,1,1),DATE(2026,1,1)&lt;=DATE(2027,12,1))="",FALSE,AND('Model inputs'!C32&lt;=DATE(2026,1,1),DATE(2026,1,1)&lt;=DATE(2027,12,1))),'Model inputs'!D12,"")</f>
      </c>
    </row>
    <row r="1649">
      <c r="A1649" t="inlineStr" s="21">
        <is>
          <t xml:space="preserve">Calculation</t>
        </is>
      </c>
      <c r="B1649">
        <f>IF(IF(AND('Model inputs'!C32&lt;=DATE(2026,2,1),DATE(2026,2,1)&lt;=DATE(2027,12,1))="",FALSE,AND('Model inputs'!C32&lt;=DATE(2026,2,1),DATE(2026,2,1)&lt;=DATE(2027,12,1))),'Model inputs'!E12,"")</f>
      </c>
    </row>
    <row r="1650">
      <c r="A1650" t="inlineStr" s="21">
        <is>
          <t xml:space="preserve">Calculation</t>
        </is>
      </c>
      <c r="B1650">
        <f>IF(IF(AND('Model inputs'!C32&lt;=DATE(2026,3,1),DATE(2026,3,1)&lt;=DATE(2027,12,1))="",FALSE,AND('Model inputs'!C32&lt;=DATE(2026,3,1),DATE(2026,3,1)&lt;=DATE(2027,12,1))),'Model inputs'!F12,"")</f>
      </c>
    </row>
    <row r="1651">
      <c r="A1651" t="inlineStr" s="21">
        <is>
          <t xml:space="preserve">Calculation</t>
        </is>
      </c>
      <c r="B1651">
        <f>IF(IF(AND('Model inputs'!C32&lt;=DATE(2026,4,1),DATE(2026,4,1)&lt;=DATE(2027,12,1))="",FALSE,AND('Model inputs'!C32&lt;=DATE(2026,4,1),DATE(2026,4,1)&lt;=DATE(2027,12,1))),'Model inputs'!G12,"")</f>
      </c>
    </row>
    <row r="1652">
      <c r="A1652" t="inlineStr" s="21">
        <is>
          <t xml:space="preserve">Calculation</t>
        </is>
      </c>
      <c r="B1652">
        <f>IF(IF(AND('Model inputs'!C32&lt;=DATE(2026,5,1),DATE(2026,5,1)&lt;=DATE(2027,12,1))="",FALSE,AND('Model inputs'!C32&lt;=DATE(2026,5,1),DATE(2026,5,1)&lt;=DATE(2027,12,1))),'Model inputs'!H12,"")</f>
      </c>
    </row>
    <row r="1653">
      <c r="A1653" t="inlineStr" s="21">
        <is>
          <t xml:space="preserve">Calculation</t>
        </is>
      </c>
      <c r="B1653">
        <f>IF(IF(AND('Model inputs'!C32&lt;=DATE(2026,6,1),DATE(2026,6,1)&lt;=DATE(2027,12,1))="",FALSE,AND('Model inputs'!C32&lt;=DATE(2026,6,1),DATE(2026,6,1)&lt;=DATE(2027,12,1))),'Model inputs'!I12,"")</f>
      </c>
    </row>
    <row r="1654">
      <c r="A1654" t="inlineStr" s="21">
        <is>
          <t xml:space="preserve">Calculation</t>
        </is>
      </c>
      <c r="B1654">
        <f>IF(IF(AND('Model inputs'!C32&lt;=DATE(2026,7,1),DATE(2026,7,1)&lt;=DATE(2027,12,1))="",FALSE,AND('Model inputs'!C32&lt;=DATE(2026,7,1),DATE(2026,7,1)&lt;=DATE(2027,12,1))),'Model inputs'!J12,"")</f>
      </c>
    </row>
    <row r="1655">
      <c r="A1655" t="inlineStr" s="21">
        <is>
          <t xml:space="preserve">Calculation</t>
        </is>
      </c>
      <c r="B1655">
        <f>IF(IF(AND('Model inputs'!C32&lt;=DATE(2026,8,1),DATE(2026,8,1)&lt;=DATE(2027,12,1))="",FALSE,AND('Model inputs'!C32&lt;=DATE(2026,8,1),DATE(2026,8,1)&lt;=DATE(2027,12,1))),'Model inputs'!K12,"")</f>
      </c>
    </row>
    <row r="1656">
      <c r="A1656" t="inlineStr" s="21">
        <is>
          <t xml:space="preserve">Calculation</t>
        </is>
      </c>
      <c r="B1656">
        <f>IF(IF(AND('Model inputs'!C32&lt;=DATE(2026,9,1),DATE(2026,9,1)&lt;=DATE(2027,12,1))="",FALSE,AND('Model inputs'!C32&lt;=DATE(2026,9,1),DATE(2026,9,1)&lt;=DATE(2027,12,1))),'Model inputs'!L12,"")</f>
      </c>
    </row>
    <row r="1657">
      <c r="A1657" t="inlineStr" s="21">
        <is>
          <t xml:space="preserve">Calculation</t>
        </is>
      </c>
      <c r="B1657">
        <f>IF(IF(AND('Model inputs'!C32&lt;=DATE(2026,10,1),DATE(2026,10,1)&lt;=DATE(2027,12,1))="",FALSE,AND('Model inputs'!C32&lt;=DATE(2026,10,1),DATE(2026,10,1)&lt;=DATE(2027,12,1))),'Model inputs'!M12,"")</f>
      </c>
    </row>
    <row r="1658">
      <c r="A1658" t="inlineStr" s="21">
        <is>
          <t xml:space="preserve">Calculation</t>
        </is>
      </c>
      <c r="B1658">
        <f>IF(IF(AND('Model inputs'!C32&lt;=DATE(2026,11,1),DATE(2026,11,1)&lt;=DATE(2027,12,1))="",FALSE,AND('Model inputs'!C32&lt;=DATE(2026,11,1),DATE(2026,11,1)&lt;=DATE(2027,12,1))),'Model inputs'!N12,"")</f>
      </c>
    </row>
    <row r="1659">
      <c r="A1659" t="inlineStr" s="21">
        <is>
          <t xml:space="preserve">Calculation</t>
        </is>
      </c>
      <c r="B1659">
        <f>IF(IF(AND('Model inputs'!C32&lt;=DATE(2026,12,1),DATE(2026,12,1)&lt;=DATE(2027,12,1))="",FALSE,AND('Model inputs'!C32&lt;=DATE(2026,12,1),DATE(2026,12,1)&lt;=DATE(2027,12,1))),'Model inputs'!O12,"")</f>
      </c>
    </row>
    <row r="1660">
      <c r="A1660" t="inlineStr" s="21">
        <is>
          <t xml:space="preserve">Calculation</t>
        </is>
      </c>
      <c r="B1660">
        <f>IF(IF(AND('Model inputs'!C32&lt;=DATE(2027,1,1),DATE(2027,1,1)&lt;=DATE(2027,12,1))="",FALSE,AND('Model inputs'!C32&lt;=DATE(2027,1,1),DATE(2027,1,1)&lt;=DATE(2027,12,1))),'Model inputs'!P12,"")</f>
      </c>
    </row>
    <row r="1661">
      <c r="A1661" t="inlineStr" s="21">
        <is>
          <t xml:space="preserve">Calculation</t>
        </is>
      </c>
      <c r="B1661">
        <f>IF(IF(AND('Model inputs'!C32&lt;=DATE(2027,2,1),DATE(2027,2,1)&lt;=DATE(2027,12,1))="",FALSE,AND('Model inputs'!C32&lt;=DATE(2027,2,1),DATE(2027,2,1)&lt;=DATE(2027,12,1))),'Model inputs'!Q12,"")</f>
      </c>
    </row>
    <row r="1662">
      <c r="A1662" t="inlineStr" s="21">
        <is>
          <t xml:space="preserve">Calculation</t>
        </is>
      </c>
      <c r="B1662">
        <f>IF(IF(AND('Model inputs'!C32&lt;=DATE(2027,3,1),DATE(2027,3,1)&lt;=DATE(2027,12,1))="",FALSE,AND('Model inputs'!C32&lt;=DATE(2027,3,1),DATE(2027,3,1)&lt;=DATE(2027,12,1))),'Model inputs'!R12,"")</f>
      </c>
    </row>
    <row r="1663">
      <c r="A1663" t="inlineStr" s="21">
        <is>
          <t xml:space="preserve">Calculation</t>
        </is>
      </c>
      <c r="B1663">
        <f>IF(IF(AND('Model inputs'!C32&lt;=DATE(2027,4,1),DATE(2027,4,1)&lt;=DATE(2027,12,1))="",FALSE,AND('Model inputs'!C32&lt;=DATE(2027,4,1),DATE(2027,4,1)&lt;=DATE(2027,12,1))),'Model inputs'!S12,"")</f>
      </c>
    </row>
    <row r="1664">
      <c r="A1664" t="inlineStr" s="21">
        <is>
          <t xml:space="preserve">Calculation</t>
        </is>
      </c>
      <c r="B1664">
        <f>IF(IF(AND('Model inputs'!C32&lt;=DATE(2027,5,1),DATE(2027,5,1)&lt;=DATE(2027,12,1))="",FALSE,AND('Model inputs'!C32&lt;=DATE(2027,5,1),DATE(2027,5,1)&lt;=DATE(2027,12,1))),'Model inputs'!T12,"")</f>
      </c>
    </row>
    <row r="1665">
      <c r="A1665" t="inlineStr" s="21">
        <is>
          <t xml:space="preserve">Calculation</t>
        </is>
      </c>
      <c r="B1665">
        <f>IF(IF(AND('Model inputs'!C32&lt;=DATE(2027,6,1),DATE(2027,6,1)&lt;=DATE(2027,12,1))="",FALSE,AND('Model inputs'!C32&lt;=DATE(2027,6,1),DATE(2027,6,1)&lt;=DATE(2027,12,1))),'Model inputs'!U12,"")</f>
      </c>
    </row>
    <row r="1666">
      <c r="A1666" t="inlineStr" s="21">
        <is>
          <t xml:space="preserve">Calculation</t>
        </is>
      </c>
      <c r="B1666">
        <f>IF(IF(AND('Model inputs'!C32&lt;=DATE(2027,7,1),DATE(2027,7,1)&lt;=DATE(2027,12,1))="",FALSE,AND('Model inputs'!C32&lt;=DATE(2027,7,1),DATE(2027,7,1)&lt;=DATE(2027,12,1))),'Model inputs'!V12,"")</f>
      </c>
    </row>
    <row r="1667">
      <c r="A1667" t="inlineStr" s="21">
        <is>
          <t xml:space="preserve">Calculation</t>
        </is>
      </c>
      <c r="B1667">
        <f>IF(IF(AND('Model inputs'!C32&lt;=DATE(2027,8,1),DATE(2027,8,1)&lt;=DATE(2027,12,1))="",FALSE,AND('Model inputs'!C32&lt;=DATE(2027,8,1),DATE(2027,8,1)&lt;=DATE(2027,12,1))),'Model inputs'!W12,"")</f>
      </c>
    </row>
    <row r="1668">
      <c r="A1668" t="inlineStr" s="21">
        <is>
          <t xml:space="preserve">Calculation</t>
        </is>
      </c>
      <c r="B1668">
        <f>IF(IF(AND('Model inputs'!C32&lt;=DATE(2027,9,1),DATE(2027,9,1)&lt;=DATE(2027,12,1))="",FALSE,AND('Model inputs'!C32&lt;=DATE(2027,9,1),DATE(2027,9,1)&lt;=DATE(2027,12,1))),'Model inputs'!X12,"")</f>
      </c>
    </row>
    <row r="1669">
      <c r="A1669" t="inlineStr" s="21">
        <is>
          <t xml:space="preserve">Calculation</t>
        </is>
      </c>
      <c r="B1669">
        <f>IF(IF(AND('Model inputs'!C32&lt;=DATE(2027,10,1),DATE(2027,10,1)&lt;=DATE(2027,12,1))="",FALSE,AND('Model inputs'!C32&lt;=DATE(2027,10,1),DATE(2027,10,1)&lt;=DATE(2027,12,1))),'Model inputs'!Y12,"")</f>
      </c>
    </row>
    <row r="1670">
      <c r="A1670" t="inlineStr" s="21">
        <is>
          <t xml:space="preserve">Calculation</t>
        </is>
      </c>
      <c r="B1670">
        <f>IF(IF(AND('Model inputs'!C32&lt;=DATE(2027,11,1),DATE(2027,11,1)&lt;=DATE(2027,12,1))="",FALSE,AND('Model inputs'!C32&lt;=DATE(2027,11,1),DATE(2027,11,1)&lt;=DATE(2027,12,1))),'Model inputs'!Z12,"")</f>
      </c>
    </row>
    <row r="1671">
      <c r="A1671" t="inlineStr" s="21">
        <is>
          <t xml:space="preserve">Calculation</t>
        </is>
      </c>
      <c r="B1671">
        <f>IF(IF(AND('Model inputs'!C32&lt;=DATE(2027,12,1),DATE(2027,12,1)&lt;=DATE(2027,12,1))="",FALSE,AND('Model inputs'!C32&lt;=DATE(2027,12,1),DATE(2027,12,1)&lt;=DATE(2027,12,1))),'Model inputs'!AA12,"")</f>
      </c>
    </row>
    <row r="1672">
      <c r="A1672" t="inlineStr" s="21">
        <is>
          <t xml:space="preserve">Calculation</t>
        </is>
      </c>
      <c r="B1672">
        <f>IF(IF(AND('Model inputs'!C32&lt;=DATE(2028,1,1),DATE(2028,1,1)&lt;=DATE(2027,12,1))="",FALSE,AND('Model inputs'!C32&lt;=DATE(2028,1,1),DATE(2028,1,1)&lt;=DATE(2027,12,1))),'Model inputs'!AB12,"")</f>
      </c>
    </row>
    <row r="1673">
      <c r="A1673" t="inlineStr" s="21">
        <is>
          <t xml:space="preserve">Calculation</t>
        </is>
      </c>
      <c r="B1673">
        <f>IF(IF(AND('Model inputs'!C32&lt;=DATE(2028,2,1),DATE(2028,2,1)&lt;=DATE(2027,12,1))="",FALSE,AND('Model inputs'!C32&lt;=DATE(2028,2,1),DATE(2028,2,1)&lt;=DATE(2027,12,1))),'Model inputs'!AC12,"")</f>
      </c>
    </row>
    <row r="1674">
      <c r="A1674" t="inlineStr" s="21">
        <is>
          <t xml:space="preserve">Calculation</t>
        </is>
      </c>
      <c r="B1674">
        <f>IF(IF(AND('Model inputs'!C32&lt;=DATE(2028,3,1),DATE(2028,3,1)&lt;=DATE(2027,12,1))="",FALSE,AND('Model inputs'!C32&lt;=DATE(2028,3,1),DATE(2028,3,1)&lt;=DATE(2027,12,1))),'Model inputs'!AD12,"")</f>
      </c>
    </row>
    <row r="1675">
      <c r="A1675" t="inlineStr" s="21">
        <is>
          <t xml:space="preserve">Calculation</t>
        </is>
      </c>
      <c r="B1675">
        <f>IF(IF(AND('Model inputs'!C32&lt;=DATE(2028,4,1),DATE(2028,4,1)&lt;=DATE(2027,12,1))="",FALSE,AND('Model inputs'!C32&lt;=DATE(2028,4,1),DATE(2028,4,1)&lt;=DATE(2027,12,1))),'Model inputs'!AE12,"")</f>
      </c>
    </row>
    <row r="1676">
      <c r="A1676" t="inlineStr" s="21">
        <is>
          <t xml:space="preserve">Calculation</t>
        </is>
      </c>
      <c r="B1676">
        <f>IF(IF(AND('Model inputs'!C32&lt;=DATE(2028,5,1),DATE(2028,5,1)&lt;=DATE(2027,12,1))="",FALSE,AND('Model inputs'!C32&lt;=DATE(2028,5,1),DATE(2028,5,1)&lt;=DATE(2027,12,1))),'Model inputs'!AF12,"")</f>
      </c>
    </row>
    <row r="1677">
      <c r="A1677" t="inlineStr" s="21">
        <is>
          <t xml:space="preserve">Calculation</t>
        </is>
      </c>
      <c r="B1677">
        <f>IF(IF(AND('Model inputs'!C32&lt;=DATE(2028,6,1),DATE(2028,6,1)&lt;=DATE(2027,12,1))="",FALSE,AND('Model inputs'!C32&lt;=DATE(2028,6,1),DATE(2028,6,1)&lt;=DATE(2027,12,1))),'Model inputs'!AG12,"")</f>
      </c>
    </row>
    <row r="1678">
      <c r="A1678" t="inlineStr" s="21">
        <is>
          <t xml:space="preserve">Calculation</t>
        </is>
      </c>
      <c r="B1678">
        <f>IF(IF(AND('Model inputs'!C32&lt;=DATE(2028,7,1),DATE(2028,7,1)&lt;=DATE(2027,12,1))="",FALSE,AND('Model inputs'!C32&lt;=DATE(2028,7,1),DATE(2028,7,1)&lt;=DATE(2027,12,1))),'Model inputs'!AH12,"")</f>
      </c>
    </row>
    <row r="1679">
      <c r="A1679" t="inlineStr" s="21">
        <is>
          <t xml:space="preserve">Calculation</t>
        </is>
      </c>
      <c r="B1679">
        <f>IF(IF(AND('Model inputs'!C32&lt;=DATE(2028,8,1),DATE(2028,8,1)&lt;=DATE(2027,12,1))="",FALSE,AND('Model inputs'!C32&lt;=DATE(2028,8,1),DATE(2028,8,1)&lt;=DATE(2027,12,1))),'Model inputs'!AI12,"")</f>
      </c>
    </row>
    <row r="1680">
      <c r="A1680" t="inlineStr" s="21">
        <is>
          <t xml:space="preserve">Calculation</t>
        </is>
      </c>
      <c r="B1680">
        <f>IF(IF(AND('Model inputs'!C32&lt;=DATE(2028,9,1),DATE(2028,9,1)&lt;=DATE(2027,12,1))="",FALSE,AND('Model inputs'!C32&lt;=DATE(2028,9,1),DATE(2028,9,1)&lt;=DATE(2027,12,1))),'Model inputs'!AJ12,"")</f>
      </c>
    </row>
    <row r="1681">
      <c r="A1681" t="inlineStr" s="21">
        <is>
          <t xml:space="preserve">Calculation</t>
        </is>
      </c>
      <c r="B1681">
        <f>IF(AND('Model inputs'!B1648="",'Model inputs'!B1649="",'Model inputs'!B1650="",'Model inputs'!B1651="",'Model inputs'!B1652="",'Model inputs'!B1653="",'Model inputs'!B1654="",'Model inputs'!B1655="",'Model inputs'!B1656="",'Model inputs'!B1657="",'Model inputs'!B1658="",'Model inputs'!B1659="",'Model inputs'!B1660="",'Model inputs'!B1661="",'Model inputs'!B1662="",'Model inputs'!B1663="",'Model inputs'!B1664="",'Model inputs'!B1665="",'Model inputs'!B1666="",'Model inputs'!B1667="",'Model inputs'!B1668="",'Model inputs'!B1669="",'Model inputs'!B1670="",'Model inputs'!B1671="",'Model inputs'!B1672="",'Model inputs'!B1673="",'Model inputs'!B1674="",'Model inputs'!B1675="",'Model inputs'!B1676="",'Model inputs'!B1677="",'Model inputs'!B1678="",'Model inputs'!B1679="",'Model inputs'!B1680=""),"",MIN('Model inputs'!B1648,'Model inputs'!B1649,'Model inputs'!B1650,'Model inputs'!B1651,'Model inputs'!B1652,'Model inputs'!B1653,'Model inputs'!B1654,'Model inputs'!B1655,'Model inputs'!B1656,'Model inputs'!B1657,'Model inputs'!B1658,'Model inputs'!B1659,'Model inputs'!B1660,'Model inputs'!B1661,'Model inputs'!B1662,'Model inputs'!B1663,'Model inputs'!B1664,'Model inputs'!B1665,'Model inputs'!B1666,'Model inputs'!B1667,'Model inputs'!B1668,'Model inputs'!B1669,'Model inputs'!B1670,'Model inputs'!B1671,'Model inputs'!B1672,'Model inputs'!B1673,'Model inputs'!B1674,'Model inputs'!B1675,'Model inputs'!B1676,'Model inputs'!B1677,'Model inputs'!B1678,'Model inputs'!B1679,'Model inputs'!B1680))</f>
      </c>
    </row>
    <row r="1682">
      <c r="A1682" t="inlineStr" s="21">
        <is>
          <t xml:space="preserve">Calculation</t>
        </is>
      </c>
      <c r="B1682">
        <f>IF(IF(AND('Model inputs'!C32&lt;=DATE(2026,1,1),DATE(2026,1,1)&lt;=DATE(2028,1,1))="",FALSE,AND('Model inputs'!C32&lt;=DATE(2026,1,1),DATE(2026,1,1)&lt;=DATE(2028,1,1))),'Model inputs'!D12,"")</f>
      </c>
    </row>
    <row r="1683">
      <c r="A1683" t="inlineStr" s="21">
        <is>
          <t xml:space="preserve">Calculation</t>
        </is>
      </c>
      <c r="B1683">
        <f>IF(IF(AND('Model inputs'!C32&lt;=DATE(2026,2,1),DATE(2026,2,1)&lt;=DATE(2028,1,1))="",FALSE,AND('Model inputs'!C32&lt;=DATE(2026,2,1),DATE(2026,2,1)&lt;=DATE(2028,1,1))),'Model inputs'!E12,"")</f>
      </c>
    </row>
    <row r="1684">
      <c r="A1684" t="inlineStr" s="21">
        <is>
          <t xml:space="preserve">Calculation</t>
        </is>
      </c>
      <c r="B1684">
        <f>IF(IF(AND('Model inputs'!C32&lt;=DATE(2026,3,1),DATE(2026,3,1)&lt;=DATE(2028,1,1))="",FALSE,AND('Model inputs'!C32&lt;=DATE(2026,3,1),DATE(2026,3,1)&lt;=DATE(2028,1,1))),'Model inputs'!F12,"")</f>
      </c>
    </row>
    <row r="1685">
      <c r="A1685" t="inlineStr" s="21">
        <is>
          <t xml:space="preserve">Calculation</t>
        </is>
      </c>
      <c r="B1685">
        <f>IF(IF(AND('Model inputs'!C32&lt;=DATE(2026,4,1),DATE(2026,4,1)&lt;=DATE(2028,1,1))="",FALSE,AND('Model inputs'!C32&lt;=DATE(2026,4,1),DATE(2026,4,1)&lt;=DATE(2028,1,1))),'Model inputs'!G12,"")</f>
      </c>
    </row>
    <row r="1686">
      <c r="A1686" t="inlineStr" s="21">
        <is>
          <t xml:space="preserve">Calculation</t>
        </is>
      </c>
      <c r="B1686">
        <f>IF(IF(AND('Model inputs'!C32&lt;=DATE(2026,5,1),DATE(2026,5,1)&lt;=DATE(2028,1,1))="",FALSE,AND('Model inputs'!C32&lt;=DATE(2026,5,1),DATE(2026,5,1)&lt;=DATE(2028,1,1))),'Model inputs'!H12,"")</f>
      </c>
    </row>
    <row r="1687">
      <c r="A1687" t="inlineStr" s="21">
        <is>
          <t xml:space="preserve">Calculation</t>
        </is>
      </c>
      <c r="B1687">
        <f>IF(IF(AND('Model inputs'!C32&lt;=DATE(2026,6,1),DATE(2026,6,1)&lt;=DATE(2028,1,1))="",FALSE,AND('Model inputs'!C32&lt;=DATE(2026,6,1),DATE(2026,6,1)&lt;=DATE(2028,1,1))),'Model inputs'!I12,"")</f>
      </c>
    </row>
    <row r="1688">
      <c r="A1688" t="inlineStr" s="21">
        <is>
          <t xml:space="preserve">Calculation</t>
        </is>
      </c>
      <c r="B1688">
        <f>IF(IF(AND('Model inputs'!C32&lt;=DATE(2026,7,1),DATE(2026,7,1)&lt;=DATE(2028,1,1))="",FALSE,AND('Model inputs'!C32&lt;=DATE(2026,7,1),DATE(2026,7,1)&lt;=DATE(2028,1,1))),'Model inputs'!J12,"")</f>
      </c>
    </row>
    <row r="1689">
      <c r="A1689" t="inlineStr" s="21">
        <is>
          <t xml:space="preserve">Calculation</t>
        </is>
      </c>
      <c r="B1689">
        <f>IF(IF(AND('Model inputs'!C32&lt;=DATE(2026,8,1),DATE(2026,8,1)&lt;=DATE(2028,1,1))="",FALSE,AND('Model inputs'!C32&lt;=DATE(2026,8,1),DATE(2026,8,1)&lt;=DATE(2028,1,1))),'Model inputs'!K12,"")</f>
      </c>
    </row>
    <row r="1690">
      <c r="A1690" t="inlineStr" s="21">
        <is>
          <t xml:space="preserve">Calculation</t>
        </is>
      </c>
      <c r="B1690">
        <f>IF(IF(AND('Model inputs'!C32&lt;=DATE(2026,9,1),DATE(2026,9,1)&lt;=DATE(2028,1,1))="",FALSE,AND('Model inputs'!C32&lt;=DATE(2026,9,1),DATE(2026,9,1)&lt;=DATE(2028,1,1))),'Model inputs'!L12,"")</f>
      </c>
    </row>
    <row r="1691">
      <c r="A1691" t="inlineStr" s="21">
        <is>
          <t xml:space="preserve">Calculation</t>
        </is>
      </c>
      <c r="B1691">
        <f>IF(IF(AND('Model inputs'!C32&lt;=DATE(2026,10,1),DATE(2026,10,1)&lt;=DATE(2028,1,1))="",FALSE,AND('Model inputs'!C32&lt;=DATE(2026,10,1),DATE(2026,10,1)&lt;=DATE(2028,1,1))),'Model inputs'!M12,"")</f>
      </c>
    </row>
    <row r="1692">
      <c r="A1692" t="inlineStr" s="21">
        <is>
          <t xml:space="preserve">Calculation</t>
        </is>
      </c>
      <c r="B1692">
        <f>IF(IF(AND('Model inputs'!C32&lt;=DATE(2026,11,1),DATE(2026,11,1)&lt;=DATE(2028,1,1))="",FALSE,AND('Model inputs'!C32&lt;=DATE(2026,11,1),DATE(2026,11,1)&lt;=DATE(2028,1,1))),'Model inputs'!N12,"")</f>
      </c>
    </row>
    <row r="1693">
      <c r="A1693" t="inlineStr" s="21">
        <is>
          <t xml:space="preserve">Calculation</t>
        </is>
      </c>
      <c r="B1693">
        <f>IF(IF(AND('Model inputs'!C32&lt;=DATE(2026,12,1),DATE(2026,12,1)&lt;=DATE(2028,1,1))="",FALSE,AND('Model inputs'!C32&lt;=DATE(2026,12,1),DATE(2026,12,1)&lt;=DATE(2028,1,1))),'Model inputs'!O12,"")</f>
      </c>
    </row>
    <row r="1694">
      <c r="A1694" t="inlineStr" s="21">
        <is>
          <t xml:space="preserve">Calculation</t>
        </is>
      </c>
      <c r="B1694">
        <f>IF(IF(AND('Model inputs'!C32&lt;=DATE(2027,1,1),DATE(2027,1,1)&lt;=DATE(2028,1,1))="",FALSE,AND('Model inputs'!C32&lt;=DATE(2027,1,1),DATE(2027,1,1)&lt;=DATE(2028,1,1))),'Model inputs'!P12,"")</f>
      </c>
    </row>
    <row r="1695">
      <c r="A1695" t="inlineStr" s="21">
        <is>
          <t xml:space="preserve">Calculation</t>
        </is>
      </c>
      <c r="B1695">
        <f>IF(IF(AND('Model inputs'!C32&lt;=DATE(2027,2,1),DATE(2027,2,1)&lt;=DATE(2028,1,1))="",FALSE,AND('Model inputs'!C32&lt;=DATE(2027,2,1),DATE(2027,2,1)&lt;=DATE(2028,1,1))),'Model inputs'!Q12,"")</f>
      </c>
    </row>
    <row r="1696">
      <c r="A1696" t="inlineStr" s="21">
        <is>
          <t xml:space="preserve">Calculation</t>
        </is>
      </c>
      <c r="B1696">
        <f>IF(IF(AND('Model inputs'!C32&lt;=DATE(2027,3,1),DATE(2027,3,1)&lt;=DATE(2028,1,1))="",FALSE,AND('Model inputs'!C32&lt;=DATE(2027,3,1),DATE(2027,3,1)&lt;=DATE(2028,1,1))),'Model inputs'!R12,"")</f>
      </c>
    </row>
    <row r="1697">
      <c r="A1697" t="inlineStr" s="21">
        <is>
          <t xml:space="preserve">Calculation</t>
        </is>
      </c>
      <c r="B1697">
        <f>IF(IF(AND('Model inputs'!C32&lt;=DATE(2027,4,1),DATE(2027,4,1)&lt;=DATE(2028,1,1))="",FALSE,AND('Model inputs'!C32&lt;=DATE(2027,4,1),DATE(2027,4,1)&lt;=DATE(2028,1,1))),'Model inputs'!S12,"")</f>
      </c>
    </row>
    <row r="1698">
      <c r="A1698" t="inlineStr" s="21">
        <is>
          <t xml:space="preserve">Calculation</t>
        </is>
      </c>
      <c r="B1698">
        <f>IF(IF(AND('Model inputs'!C32&lt;=DATE(2027,5,1),DATE(2027,5,1)&lt;=DATE(2028,1,1))="",FALSE,AND('Model inputs'!C32&lt;=DATE(2027,5,1),DATE(2027,5,1)&lt;=DATE(2028,1,1))),'Model inputs'!T12,"")</f>
      </c>
    </row>
    <row r="1699">
      <c r="A1699" t="inlineStr" s="21">
        <is>
          <t xml:space="preserve">Calculation</t>
        </is>
      </c>
      <c r="B1699">
        <f>IF(IF(AND('Model inputs'!C32&lt;=DATE(2027,6,1),DATE(2027,6,1)&lt;=DATE(2028,1,1))="",FALSE,AND('Model inputs'!C32&lt;=DATE(2027,6,1),DATE(2027,6,1)&lt;=DATE(2028,1,1))),'Model inputs'!U12,"")</f>
      </c>
    </row>
    <row r="1700">
      <c r="A1700" t="inlineStr" s="21">
        <is>
          <t xml:space="preserve">Calculation</t>
        </is>
      </c>
      <c r="B1700">
        <f>IF(IF(AND('Model inputs'!C32&lt;=DATE(2027,7,1),DATE(2027,7,1)&lt;=DATE(2028,1,1))="",FALSE,AND('Model inputs'!C32&lt;=DATE(2027,7,1),DATE(2027,7,1)&lt;=DATE(2028,1,1))),'Model inputs'!V12,"")</f>
      </c>
    </row>
    <row r="1701">
      <c r="A1701" t="inlineStr" s="21">
        <is>
          <t xml:space="preserve">Calculation</t>
        </is>
      </c>
      <c r="B1701">
        <f>IF(IF(AND('Model inputs'!C32&lt;=DATE(2027,8,1),DATE(2027,8,1)&lt;=DATE(2028,1,1))="",FALSE,AND('Model inputs'!C32&lt;=DATE(2027,8,1),DATE(2027,8,1)&lt;=DATE(2028,1,1))),'Model inputs'!W12,"")</f>
      </c>
    </row>
    <row r="1702">
      <c r="A1702" t="inlineStr" s="21">
        <is>
          <t xml:space="preserve">Calculation</t>
        </is>
      </c>
      <c r="B1702">
        <f>IF(IF(AND('Model inputs'!C32&lt;=DATE(2027,9,1),DATE(2027,9,1)&lt;=DATE(2028,1,1))="",FALSE,AND('Model inputs'!C32&lt;=DATE(2027,9,1),DATE(2027,9,1)&lt;=DATE(2028,1,1))),'Model inputs'!X12,"")</f>
      </c>
    </row>
    <row r="1703">
      <c r="A1703" t="inlineStr" s="21">
        <is>
          <t xml:space="preserve">Calculation</t>
        </is>
      </c>
      <c r="B1703">
        <f>IF(IF(AND('Model inputs'!C32&lt;=DATE(2027,10,1),DATE(2027,10,1)&lt;=DATE(2028,1,1))="",FALSE,AND('Model inputs'!C32&lt;=DATE(2027,10,1),DATE(2027,10,1)&lt;=DATE(2028,1,1))),'Model inputs'!Y12,"")</f>
      </c>
    </row>
    <row r="1704">
      <c r="A1704" t="inlineStr" s="21">
        <is>
          <t xml:space="preserve">Calculation</t>
        </is>
      </c>
      <c r="B1704">
        <f>IF(IF(AND('Model inputs'!C32&lt;=DATE(2027,11,1),DATE(2027,11,1)&lt;=DATE(2028,1,1))="",FALSE,AND('Model inputs'!C32&lt;=DATE(2027,11,1),DATE(2027,11,1)&lt;=DATE(2028,1,1))),'Model inputs'!Z12,"")</f>
      </c>
    </row>
    <row r="1705">
      <c r="A1705" t="inlineStr" s="21">
        <is>
          <t xml:space="preserve">Calculation</t>
        </is>
      </c>
      <c r="B1705">
        <f>IF(IF(AND('Model inputs'!C32&lt;=DATE(2027,12,1),DATE(2027,12,1)&lt;=DATE(2028,1,1))="",FALSE,AND('Model inputs'!C32&lt;=DATE(2027,12,1),DATE(2027,12,1)&lt;=DATE(2028,1,1))),'Model inputs'!AA12,"")</f>
      </c>
    </row>
    <row r="1706">
      <c r="A1706" t="inlineStr" s="21">
        <is>
          <t xml:space="preserve">Calculation</t>
        </is>
      </c>
      <c r="B1706">
        <f>IF(IF(AND('Model inputs'!C32&lt;=DATE(2028,1,1),DATE(2028,1,1)&lt;=DATE(2028,1,1))="",FALSE,AND('Model inputs'!C32&lt;=DATE(2028,1,1),DATE(2028,1,1)&lt;=DATE(2028,1,1))),'Model inputs'!AB12,"")</f>
      </c>
    </row>
    <row r="1707">
      <c r="A1707" t="inlineStr" s="21">
        <is>
          <t xml:space="preserve">Calculation</t>
        </is>
      </c>
      <c r="B1707">
        <f>IF(IF(AND('Model inputs'!C32&lt;=DATE(2028,2,1),DATE(2028,2,1)&lt;=DATE(2028,1,1))="",FALSE,AND('Model inputs'!C32&lt;=DATE(2028,2,1),DATE(2028,2,1)&lt;=DATE(2028,1,1))),'Model inputs'!AC12,"")</f>
      </c>
    </row>
    <row r="1708">
      <c r="A1708" t="inlineStr" s="21">
        <is>
          <t xml:space="preserve">Calculation</t>
        </is>
      </c>
      <c r="B1708">
        <f>IF(IF(AND('Model inputs'!C32&lt;=DATE(2028,3,1),DATE(2028,3,1)&lt;=DATE(2028,1,1))="",FALSE,AND('Model inputs'!C32&lt;=DATE(2028,3,1),DATE(2028,3,1)&lt;=DATE(2028,1,1))),'Model inputs'!AD12,"")</f>
      </c>
    </row>
    <row r="1709">
      <c r="A1709" t="inlineStr" s="21">
        <is>
          <t xml:space="preserve">Calculation</t>
        </is>
      </c>
      <c r="B1709">
        <f>IF(IF(AND('Model inputs'!C32&lt;=DATE(2028,4,1),DATE(2028,4,1)&lt;=DATE(2028,1,1))="",FALSE,AND('Model inputs'!C32&lt;=DATE(2028,4,1),DATE(2028,4,1)&lt;=DATE(2028,1,1))),'Model inputs'!AE12,"")</f>
      </c>
    </row>
    <row r="1710">
      <c r="A1710" t="inlineStr" s="21">
        <is>
          <t xml:space="preserve">Calculation</t>
        </is>
      </c>
      <c r="B1710">
        <f>IF(IF(AND('Model inputs'!C32&lt;=DATE(2028,5,1),DATE(2028,5,1)&lt;=DATE(2028,1,1))="",FALSE,AND('Model inputs'!C32&lt;=DATE(2028,5,1),DATE(2028,5,1)&lt;=DATE(2028,1,1))),'Model inputs'!AF12,"")</f>
      </c>
    </row>
    <row r="1711">
      <c r="A1711" t="inlineStr" s="21">
        <is>
          <t xml:space="preserve">Calculation</t>
        </is>
      </c>
      <c r="B1711">
        <f>IF(IF(AND('Model inputs'!C32&lt;=DATE(2028,6,1),DATE(2028,6,1)&lt;=DATE(2028,1,1))="",FALSE,AND('Model inputs'!C32&lt;=DATE(2028,6,1),DATE(2028,6,1)&lt;=DATE(2028,1,1))),'Model inputs'!AG12,"")</f>
      </c>
    </row>
    <row r="1712">
      <c r="A1712" t="inlineStr" s="21">
        <is>
          <t xml:space="preserve">Calculation</t>
        </is>
      </c>
      <c r="B1712">
        <f>IF(IF(AND('Model inputs'!C32&lt;=DATE(2028,7,1),DATE(2028,7,1)&lt;=DATE(2028,1,1))="",FALSE,AND('Model inputs'!C32&lt;=DATE(2028,7,1),DATE(2028,7,1)&lt;=DATE(2028,1,1))),'Model inputs'!AH12,"")</f>
      </c>
    </row>
    <row r="1713">
      <c r="A1713" t="inlineStr" s="21">
        <is>
          <t xml:space="preserve">Calculation</t>
        </is>
      </c>
      <c r="B1713">
        <f>IF(IF(AND('Model inputs'!C32&lt;=DATE(2028,8,1),DATE(2028,8,1)&lt;=DATE(2028,1,1))="",FALSE,AND('Model inputs'!C32&lt;=DATE(2028,8,1),DATE(2028,8,1)&lt;=DATE(2028,1,1))),'Model inputs'!AI12,"")</f>
      </c>
    </row>
    <row r="1714">
      <c r="A1714" t="inlineStr" s="21">
        <is>
          <t xml:space="preserve">Calculation</t>
        </is>
      </c>
      <c r="B1714">
        <f>IF(IF(AND('Model inputs'!C32&lt;=DATE(2028,9,1),DATE(2028,9,1)&lt;=DATE(2028,1,1))="",FALSE,AND('Model inputs'!C32&lt;=DATE(2028,9,1),DATE(2028,9,1)&lt;=DATE(2028,1,1))),'Model inputs'!AJ12,"")</f>
      </c>
    </row>
    <row r="1715">
      <c r="A1715" t="inlineStr" s="21">
        <is>
          <t xml:space="preserve">Calculation</t>
        </is>
      </c>
      <c r="B1715">
        <f>IF(AND('Model inputs'!B1682="",'Model inputs'!B1683="",'Model inputs'!B1684="",'Model inputs'!B1685="",'Model inputs'!B1686="",'Model inputs'!B1687="",'Model inputs'!B1688="",'Model inputs'!B1689="",'Model inputs'!B1690="",'Model inputs'!B1691="",'Model inputs'!B1692="",'Model inputs'!B1693="",'Model inputs'!B1694="",'Model inputs'!B1695="",'Model inputs'!B1696="",'Model inputs'!B1697="",'Model inputs'!B1698="",'Model inputs'!B1699="",'Model inputs'!B1700="",'Model inputs'!B1701="",'Model inputs'!B1702="",'Model inputs'!B1703="",'Model inputs'!B1704="",'Model inputs'!B1705="",'Model inputs'!B1706="",'Model inputs'!B1707="",'Model inputs'!B1708="",'Model inputs'!B1709="",'Model inputs'!B1710="",'Model inputs'!B1711="",'Model inputs'!B1712="",'Model inputs'!B1713="",'Model inputs'!B1714=""),"",MIN('Model inputs'!B1682,'Model inputs'!B1683,'Model inputs'!B1684,'Model inputs'!B1685,'Model inputs'!B1686,'Model inputs'!B1687,'Model inputs'!B1688,'Model inputs'!B1689,'Model inputs'!B1690,'Model inputs'!B1691,'Model inputs'!B1692,'Model inputs'!B1693,'Model inputs'!B1694,'Model inputs'!B1695,'Model inputs'!B1696,'Model inputs'!B1697,'Model inputs'!B1698,'Model inputs'!B1699,'Model inputs'!B1700,'Model inputs'!B1701,'Model inputs'!B1702,'Model inputs'!B1703,'Model inputs'!B1704,'Model inputs'!B1705,'Model inputs'!B1706,'Model inputs'!B1707,'Model inputs'!B1708,'Model inputs'!B1709,'Model inputs'!B1710,'Model inputs'!B1711,'Model inputs'!B1712,'Model inputs'!B1713,'Model inputs'!B1714))</f>
      </c>
    </row>
    <row r="1716">
      <c r="A1716" t="inlineStr" s="21">
        <is>
          <t xml:space="preserve">Calculation</t>
        </is>
      </c>
      <c r="B1716">
        <f>IF(IF(AND('Model inputs'!C32&lt;=DATE(2026,1,1),DATE(2026,1,1)&lt;=DATE(2028,2,1))="",FALSE,AND('Model inputs'!C32&lt;=DATE(2026,1,1),DATE(2026,1,1)&lt;=DATE(2028,2,1))),'Model inputs'!D12,"")</f>
      </c>
    </row>
    <row r="1717">
      <c r="A1717" t="inlineStr" s="21">
        <is>
          <t xml:space="preserve">Calculation</t>
        </is>
      </c>
      <c r="B1717">
        <f>IF(IF(AND('Model inputs'!C32&lt;=DATE(2026,2,1),DATE(2026,2,1)&lt;=DATE(2028,2,1))="",FALSE,AND('Model inputs'!C32&lt;=DATE(2026,2,1),DATE(2026,2,1)&lt;=DATE(2028,2,1))),'Model inputs'!E12,"")</f>
      </c>
    </row>
    <row r="1718">
      <c r="A1718" t="inlineStr" s="21">
        <is>
          <t xml:space="preserve">Calculation</t>
        </is>
      </c>
      <c r="B1718">
        <f>IF(IF(AND('Model inputs'!C32&lt;=DATE(2026,3,1),DATE(2026,3,1)&lt;=DATE(2028,2,1))="",FALSE,AND('Model inputs'!C32&lt;=DATE(2026,3,1),DATE(2026,3,1)&lt;=DATE(2028,2,1))),'Model inputs'!F12,"")</f>
      </c>
    </row>
    <row r="1719">
      <c r="A1719" t="inlineStr" s="21">
        <is>
          <t xml:space="preserve">Calculation</t>
        </is>
      </c>
      <c r="B1719">
        <f>IF(IF(AND('Model inputs'!C32&lt;=DATE(2026,4,1),DATE(2026,4,1)&lt;=DATE(2028,2,1))="",FALSE,AND('Model inputs'!C32&lt;=DATE(2026,4,1),DATE(2026,4,1)&lt;=DATE(2028,2,1))),'Model inputs'!G12,"")</f>
      </c>
    </row>
    <row r="1720">
      <c r="A1720" t="inlineStr" s="21">
        <is>
          <t xml:space="preserve">Calculation</t>
        </is>
      </c>
      <c r="B1720">
        <f>IF(IF(AND('Model inputs'!C32&lt;=DATE(2026,5,1),DATE(2026,5,1)&lt;=DATE(2028,2,1))="",FALSE,AND('Model inputs'!C32&lt;=DATE(2026,5,1),DATE(2026,5,1)&lt;=DATE(2028,2,1))),'Model inputs'!H12,"")</f>
      </c>
    </row>
    <row r="1721">
      <c r="A1721" t="inlineStr" s="21">
        <is>
          <t xml:space="preserve">Calculation</t>
        </is>
      </c>
      <c r="B1721">
        <f>IF(IF(AND('Model inputs'!C32&lt;=DATE(2026,6,1),DATE(2026,6,1)&lt;=DATE(2028,2,1))="",FALSE,AND('Model inputs'!C32&lt;=DATE(2026,6,1),DATE(2026,6,1)&lt;=DATE(2028,2,1))),'Model inputs'!I12,"")</f>
      </c>
    </row>
    <row r="1722">
      <c r="A1722" t="inlineStr" s="21">
        <is>
          <t xml:space="preserve">Calculation</t>
        </is>
      </c>
      <c r="B1722">
        <f>IF(IF(AND('Model inputs'!C32&lt;=DATE(2026,7,1),DATE(2026,7,1)&lt;=DATE(2028,2,1))="",FALSE,AND('Model inputs'!C32&lt;=DATE(2026,7,1),DATE(2026,7,1)&lt;=DATE(2028,2,1))),'Model inputs'!J12,"")</f>
      </c>
    </row>
    <row r="1723">
      <c r="A1723" t="inlineStr" s="21">
        <is>
          <t xml:space="preserve">Calculation</t>
        </is>
      </c>
      <c r="B1723">
        <f>IF(IF(AND('Model inputs'!C32&lt;=DATE(2026,8,1),DATE(2026,8,1)&lt;=DATE(2028,2,1))="",FALSE,AND('Model inputs'!C32&lt;=DATE(2026,8,1),DATE(2026,8,1)&lt;=DATE(2028,2,1))),'Model inputs'!K12,"")</f>
      </c>
    </row>
    <row r="1724">
      <c r="A1724" t="inlineStr" s="21">
        <is>
          <t xml:space="preserve">Calculation</t>
        </is>
      </c>
      <c r="B1724">
        <f>IF(IF(AND('Model inputs'!C32&lt;=DATE(2026,9,1),DATE(2026,9,1)&lt;=DATE(2028,2,1))="",FALSE,AND('Model inputs'!C32&lt;=DATE(2026,9,1),DATE(2026,9,1)&lt;=DATE(2028,2,1))),'Model inputs'!L12,"")</f>
      </c>
    </row>
    <row r="1725">
      <c r="A1725" t="inlineStr" s="21">
        <is>
          <t xml:space="preserve">Calculation</t>
        </is>
      </c>
      <c r="B1725">
        <f>IF(IF(AND('Model inputs'!C32&lt;=DATE(2026,10,1),DATE(2026,10,1)&lt;=DATE(2028,2,1))="",FALSE,AND('Model inputs'!C32&lt;=DATE(2026,10,1),DATE(2026,10,1)&lt;=DATE(2028,2,1))),'Model inputs'!M12,"")</f>
      </c>
    </row>
    <row r="1726">
      <c r="A1726" t="inlineStr" s="21">
        <is>
          <t xml:space="preserve">Calculation</t>
        </is>
      </c>
      <c r="B1726">
        <f>IF(IF(AND('Model inputs'!C32&lt;=DATE(2026,11,1),DATE(2026,11,1)&lt;=DATE(2028,2,1))="",FALSE,AND('Model inputs'!C32&lt;=DATE(2026,11,1),DATE(2026,11,1)&lt;=DATE(2028,2,1))),'Model inputs'!N12,"")</f>
      </c>
    </row>
    <row r="1727">
      <c r="A1727" t="inlineStr" s="21">
        <is>
          <t xml:space="preserve">Calculation</t>
        </is>
      </c>
      <c r="B1727">
        <f>IF(IF(AND('Model inputs'!C32&lt;=DATE(2026,12,1),DATE(2026,12,1)&lt;=DATE(2028,2,1))="",FALSE,AND('Model inputs'!C32&lt;=DATE(2026,12,1),DATE(2026,12,1)&lt;=DATE(2028,2,1))),'Model inputs'!O12,"")</f>
      </c>
    </row>
    <row r="1728">
      <c r="A1728" t="inlineStr" s="21">
        <is>
          <t xml:space="preserve">Calculation</t>
        </is>
      </c>
      <c r="B1728">
        <f>IF(IF(AND('Model inputs'!C32&lt;=DATE(2027,1,1),DATE(2027,1,1)&lt;=DATE(2028,2,1))="",FALSE,AND('Model inputs'!C32&lt;=DATE(2027,1,1),DATE(2027,1,1)&lt;=DATE(2028,2,1))),'Model inputs'!P12,"")</f>
      </c>
    </row>
    <row r="1729">
      <c r="A1729" t="inlineStr" s="21">
        <is>
          <t xml:space="preserve">Calculation</t>
        </is>
      </c>
      <c r="B1729">
        <f>IF(IF(AND('Model inputs'!C32&lt;=DATE(2027,2,1),DATE(2027,2,1)&lt;=DATE(2028,2,1))="",FALSE,AND('Model inputs'!C32&lt;=DATE(2027,2,1),DATE(2027,2,1)&lt;=DATE(2028,2,1))),'Model inputs'!Q12,"")</f>
      </c>
    </row>
    <row r="1730">
      <c r="A1730" t="inlineStr" s="21">
        <is>
          <t xml:space="preserve">Calculation</t>
        </is>
      </c>
      <c r="B1730">
        <f>IF(IF(AND('Model inputs'!C32&lt;=DATE(2027,3,1),DATE(2027,3,1)&lt;=DATE(2028,2,1))="",FALSE,AND('Model inputs'!C32&lt;=DATE(2027,3,1),DATE(2027,3,1)&lt;=DATE(2028,2,1))),'Model inputs'!R12,"")</f>
      </c>
    </row>
    <row r="1731">
      <c r="A1731" t="inlineStr" s="21">
        <is>
          <t xml:space="preserve">Calculation</t>
        </is>
      </c>
      <c r="B1731">
        <f>IF(IF(AND('Model inputs'!C32&lt;=DATE(2027,4,1),DATE(2027,4,1)&lt;=DATE(2028,2,1))="",FALSE,AND('Model inputs'!C32&lt;=DATE(2027,4,1),DATE(2027,4,1)&lt;=DATE(2028,2,1))),'Model inputs'!S12,"")</f>
      </c>
    </row>
    <row r="1732">
      <c r="A1732" t="inlineStr" s="21">
        <is>
          <t xml:space="preserve">Calculation</t>
        </is>
      </c>
      <c r="B1732">
        <f>IF(IF(AND('Model inputs'!C32&lt;=DATE(2027,5,1),DATE(2027,5,1)&lt;=DATE(2028,2,1))="",FALSE,AND('Model inputs'!C32&lt;=DATE(2027,5,1),DATE(2027,5,1)&lt;=DATE(2028,2,1))),'Model inputs'!T12,"")</f>
      </c>
    </row>
    <row r="1733">
      <c r="A1733" t="inlineStr" s="21">
        <is>
          <t xml:space="preserve">Calculation</t>
        </is>
      </c>
      <c r="B1733">
        <f>IF(IF(AND('Model inputs'!C32&lt;=DATE(2027,6,1),DATE(2027,6,1)&lt;=DATE(2028,2,1))="",FALSE,AND('Model inputs'!C32&lt;=DATE(2027,6,1),DATE(2027,6,1)&lt;=DATE(2028,2,1))),'Model inputs'!U12,"")</f>
      </c>
    </row>
    <row r="1734">
      <c r="A1734" t="inlineStr" s="21">
        <is>
          <t xml:space="preserve">Calculation</t>
        </is>
      </c>
      <c r="B1734">
        <f>IF(IF(AND('Model inputs'!C32&lt;=DATE(2027,7,1),DATE(2027,7,1)&lt;=DATE(2028,2,1))="",FALSE,AND('Model inputs'!C32&lt;=DATE(2027,7,1),DATE(2027,7,1)&lt;=DATE(2028,2,1))),'Model inputs'!V12,"")</f>
      </c>
    </row>
    <row r="1735">
      <c r="A1735" t="inlineStr" s="21">
        <is>
          <t xml:space="preserve">Calculation</t>
        </is>
      </c>
      <c r="B1735">
        <f>IF(IF(AND('Model inputs'!C32&lt;=DATE(2027,8,1),DATE(2027,8,1)&lt;=DATE(2028,2,1))="",FALSE,AND('Model inputs'!C32&lt;=DATE(2027,8,1),DATE(2027,8,1)&lt;=DATE(2028,2,1))),'Model inputs'!W12,"")</f>
      </c>
    </row>
    <row r="1736">
      <c r="A1736" t="inlineStr" s="21">
        <is>
          <t xml:space="preserve">Calculation</t>
        </is>
      </c>
      <c r="B1736">
        <f>IF(IF(AND('Model inputs'!C32&lt;=DATE(2027,9,1),DATE(2027,9,1)&lt;=DATE(2028,2,1))="",FALSE,AND('Model inputs'!C32&lt;=DATE(2027,9,1),DATE(2027,9,1)&lt;=DATE(2028,2,1))),'Model inputs'!X12,"")</f>
      </c>
    </row>
    <row r="1737">
      <c r="A1737" t="inlineStr" s="21">
        <is>
          <t xml:space="preserve">Calculation</t>
        </is>
      </c>
      <c r="B1737">
        <f>IF(IF(AND('Model inputs'!C32&lt;=DATE(2027,10,1),DATE(2027,10,1)&lt;=DATE(2028,2,1))="",FALSE,AND('Model inputs'!C32&lt;=DATE(2027,10,1),DATE(2027,10,1)&lt;=DATE(2028,2,1))),'Model inputs'!Y12,"")</f>
      </c>
    </row>
    <row r="1738">
      <c r="A1738" t="inlineStr" s="21">
        <is>
          <t xml:space="preserve">Calculation</t>
        </is>
      </c>
      <c r="B1738">
        <f>IF(IF(AND('Model inputs'!C32&lt;=DATE(2027,11,1),DATE(2027,11,1)&lt;=DATE(2028,2,1))="",FALSE,AND('Model inputs'!C32&lt;=DATE(2027,11,1),DATE(2027,11,1)&lt;=DATE(2028,2,1))),'Model inputs'!Z12,"")</f>
      </c>
    </row>
    <row r="1739">
      <c r="A1739" t="inlineStr" s="21">
        <is>
          <t xml:space="preserve">Calculation</t>
        </is>
      </c>
      <c r="B1739">
        <f>IF(IF(AND('Model inputs'!C32&lt;=DATE(2027,12,1),DATE(2027,12,1)&lt;=DATE(2028,2,1))="",FALSE,AND('Model inputs'!C32&lt;=DATE(2027,12,1),DATE(2027,12,1)&lt;=DATE(2028,2,1))),'Model inputs'!AA12,"")</f>
      </c>
    </row>
    <row r="1740">
      <c r="A1740" t="inlineStr" s="21">
        <is>
          <t xml:space="preserve">Calculation</t>
        </is>
      </c>
      <c r="B1740">
        <f>IF(IF(AND('Model inputs'!C32&lt;=DATE(2028,1,1),DATE(2028,1,1)&lt;=DATE(2028,2,1))="",FALSE,AND('Model inputs'!C32&lt;=DATE(2028,1,1),DATE(2028,1,1)&lt;=DATE(2028,2,1))),'Model inputs'!AB12,"")</f>
      </c>
    </row>
    <row r="1741">
      <c r="A1741" t="inlineStr" s="21">
        <is>
          <t xml:space="preserve">Calculation</t>
        </is>
      </c>
      <c r="B1741">
        <f>IF(IF(AND('Model inputs'!C32&lt;=DATE(2028,2,1),DATE(2028,2,1)&lt;=DATE(2028,2,1))="",FALSE,AND('Model inputs'!C32&lt;=DATE(2028,2,1),DATE(2028,2,1)&lt;=DATE(2028,2,1))),'Model inputs'!AC12,"")</f>
      </c>
    </row>
    <row r="1742">
      <c r="A1742" t="inlineStr" s="21">
        <is>
          <t xml:space="preserve">Calculation</t>
        </is>
      </c>
      <c r="B1742">
        <f>IF(IF(AND('Model inputs'!C32&lt;=DATE(2028,3,1),DATE(2028,3,1)&lt;=DATE(2028,2,1))="",FALSE,AND('Model inputs'!C32&lt;=DATE(2028,3,1),DATE(2028,3,1)&lt;=DATE(2028,2,1))),'Model inputs'!AD12,"")</f>
      </c>
    </row>
    <row r="1743">
      <c r="A1743" t="inlineStr" s="21">
        <is>
          <t xml:space="preserve">Calculation</t>
        </is>
      </c>
      <c r="B1743">
        <f>IF(IF(AND('Model inputs'!C32&lt;=DATE(2028,4,1),DATE(2028,4,1)&lt;=DATE(2028,2,1))="",FALSE,AND('Model inputs'!C32&lt;=DATE(2028,4,1),DATE(2028,4,1)&lt;=DATE(2028,2,1))),'Model inputs'!AE12,"")</f>
      </c>
    </row>
    <row r="1744">
      <c r="A1744" t="inlineStr" s="21">
        <is>
          <t xml:space="preserve">Calculation</t>
        </is>
      </c>
      <c r="B1744">
        <f>IF(IF(AND('Model inputs'!C32&lt;=DATE(2028,5,1),DATE(2028,5,1)&lt;=DATE(2028,2,1))="",FALSE,AND('Model inputs'!C32&lt;=DATE(2028,5,1),DATE(2028,5,1)&lt;=DATE(2028,2,1))),'Model inputs'!AF12,"")</f>
      </c>
    </row>
    <row r="1745">
      <c r="A1745" t="inlineStr" s="21">
        <is>
          <t xml:space="preserve">Calculation</t>
        </is>
      </c>
      <c r="B1745">
        <f>IF(IF(AND('Model inputs'!C32&lt;=DATE(2028,6,1),DATE(2028,6,1)&lt;=DATE(2028,2,1))="",FALSE,AND('Model inputs'!C32&lt;=DATE(2028,6,1),DATE(2028,6,1)&lt;=DATE(2028,2,1))),'Model inputs'!AG12,"")</f>
      </c>
    </row>
    <row r="1746">
      <c r="A1746" t="inlineStr" s="21">
        <is>
          <t xml:space="preserve">Calculation</t>
        </is>
      </c>
      <c r="B1746">
        <f>IF(IF(AND('Model inputs'!C32&lt;=DATE(2028,7,1),DATE(2028,7,1)&lt;=DATE(2028,2,1))="",FALSE,AND('Model inputs'!C32&lt;=DATE(2028,7,1),DATE(2028,7,1)&lt;=DATE(2028,2,1))),'Model inputs'!AH12,"")</f>
      </c>
    </row>
    <row r="1747">
      <c r="A1747" t="inlineStr" s="21">
        <is>
          <t xml:space="preserve">Calculation</t>
        </is>
      </c>
      <c r="B1747">
        <f>IF(IF(AND('Model inputs'!C32&lt;=DATE(2028,8,1),DATE(2028,8,1)&lt;=DATE(2028,2,1))="",FALSE,AND('Model inputs'!C32&lt;=DATE(2028,8,1),DATE(2028,8,1)&lt;=DATE(2028,2,1))),'Model inputs'!AI12,"")</f>
      </c>
    </row>
    <row r="1748">
      <c r="A1748" t="inlineStr" s="21">
        <is>
          <t xml:space="preserve">Calculation</t>
        </is>
      </c>
      <c r="B1748">
        <f>IF(IF(AND('Model inputs'!C32&lt;=DATE(2028,9,1),DATE(2028,9,1)&lt;=DATE(2028,2,1))="",FALSE,AND('Model inputs'!C32&lt;=DATE(2028,9,1),DATE(2028,9,1)&lt;=DATE(2028,2,1))),'Model inputs'!AJ12,"")</f>
      </c>
    </row>
    <row r="1749">
      <c r="A1749" t="inlineStr" s="21">
        <is>
          <t xml:space="preserve">Calculation</t>
        </is>
      </c>
      <c r="B1749">
        <f>IF(AND('Model inputs'!B1716="",'Model inputs'!B1717="",'Model inputs'!B1718="",'Model inputs'!B1719="",'Model inputs'!B1720="",'Model inputs'!B1721="",'Model inputs'!B1722="",'Model inputs'!B1723="",'Model inputs'!B1724="",'Model inputs'!B1725="",'Model inputs'!B1726="",'Model inputs'!B1727="",'Model inputs'!B1728="",'Model inputs'!B1729="",'Model inputs'!B1730="",'Model inputs'!B1731="",'Model inputs'!B1732="",'Model inputs'!B1733="",'Model inputs'!B1734="",'Model inputs'!B1735="",'Model inputs'!B1736="",'Model inputs'!B1737="",'Model inputs'!B1738="",'Model inputs'!B1739="",'Model inputs'!B1740="",'Model inputs'!B1741="",'Model inputs'!B1742="",'Model inputs'!B1743="",'Model inputs'!B1744="",'Model inputs'!B1745="",'Model inputs'!B1746="",'Model inputs'!B1747="",'Model inputs'!B1748=""),"",MIN('Model inputs'!B1716,'Model inputs'!B1717,'Model inputs'!B1718,'Model inputs'!B1719,'Model inputs'!B1720,'Model inputs'!B1721,'Model inputs'!B1722,'Model inputs'!B1723,'Model inputs'!B1724,'Model inputs'!B1725,'Model inputs'!B1726,'Model inputs'!B1727,'Model inputs'!B1728,'Model inputs'!B1729,'Model inputs'!B1730,'Model inputs'!B1731,'Model inputs'!B1732,'Model inputs'!B1733,'Model inputs'!B1734,'Model inputs'!B1735,'Model inputs'!B1736,'Model inputs'!B1737,'Model inputs'!B1738,'Model inputs'!B1739,'Model inputs'!B1740,'Model inputs'!B1741,'Model inputs'!B1742,'Model inputs'!B1743,'Model inputs'!B1744,'Model inputs'!B1745,'Model inputs'!B1746,'Model inputs'!B1747,'Model inputs'!B1748))</f>
      </c>
    </row>
    <row r="1750">
      <c r="A1750" t="inlineStr" s="21">
        <is>
          <t xml:space="preserve">Calculation</t>
        </is>
      </c>
      <c r="B1750">
        <f>IF(IF(AND('Model inputs'!C32&lt;=DATE(2026,1,1),DATE(2026,1,1)&lt;=DATE(2028,3,1))="",FALSE,AND('Model inputs'!C32&lt;=DATE(2026,1,1),DATE(2026,1,1)&lt;=DATE(2028,3,1))),'Model inputs'!D12,"")</f>
      </c>
    </row>
    <row r="1751">
      <c r="A1751" t="inlineStr" s="21">
        <is>
          <t xml:space="preserve">Calculation</t>
        </is>
      </c>
      <c r="B1751">
        <f>IF(IF(AND('Model inputs'!C32&lt;=DATE(2026,2,1),DATE(2026,2,1)&lt;=DATE(2028,3,1))="",FALSE,AND('Model inputs'!C32&lt;=DATE(2026,2,1),DATE(2026,2,1)&lt;=DATE(2028,3,1))),'Model inputs'!E12,"")</f>
      </c>
    </row>
    <row r="1752">
      <c r="A1752" t="inlineStr" s="21">
        <is>
          <t xml:space="preserve">Calculation</t>
        </is>
      </c>
      <c r="B1752">
        <f>IF(IF(AND('Model inputs'!C32&lt;=DATE(2026,3,1),DATE(2026,3,1)&lt;=DATE(2028,3,1))="",FALSE,AND('Model inputs'!C32&lt;=DATE(2026,3,1),DATE(2026,3,1)&lt;=DATE(2028,3,1))),'Model inputs'!F12,"")</f>
      </c>
    </row>
    <row r="1753">
      <c r="A1753" t="inlineStr" s="21">
        <is>
          <t xml:space="preserve">Calculation</t>
        </is>
      </c>
      <c r="B1753">
        <f>IF(IF(AND('Model inputs'!C32&lt;=DATE(2026,4,1),DATE(2026,4,1)&lt;=DATE(2028,3,1))="",FALSE,AND('Model inputs'!C32&lt;=DATE(2026,4,1),DATE(2026,4,1)&lt;=DATE(2028,3,1))),'Model inputs'!G12,"")</f>
      </c>
    </row>
    <row r="1754">
      <c r="A1754" t="inlineStr" s="21">
        <is>
          <t xml:space="preserve">Calculation</t>
        </is>
      </c>
      <c r="B1754">
        <f>IF(IF(AND('Model inputs'!C32&lt;=DATE(2026,5,1),DATE(2026,5,1)&lt;=DATE(2028,3,1))="",FALSE,AND('Model inputs'!C32&lt;=DATE(2026,5,1),DATE(2026,5,1)&lt;=DATE(2028,3,1))),'Model inputs'!H12,"")</f>
      </c>
    </row>
    <row r="1755">
      <c r="A1755" t="inlineStr" s="21">
        <is>
          <t xml:space="preserve">Calculation</t>
        </is>
      </c>
      <c r="B1755">
        <f>IF(IF(AND('Model inputs'!C32&lt;=DATE(2026,6,1),DATE(2026,6,1)&lt;=DATE(2028,3,1))="",FALSE,AND('Model inputs'!C32&lt;=DATE(2026,6,1),DATE(2026,6,1)&lt;=DATE(2028,3,1))),'Model inputs'!I12,"")</f>
      </c>
    </row>
    <row r="1756">
      <c r="A1756" t="inlineStr" s="21">
        <is>
          <t xml:space="preserve">Calculation</t>
        </is>
      </c>
      <c r="B1756">
        <f>IF(IF(AND('Model inputs'!C32&lt;=DATE(2026,7,1),DATE(2026,7,1)&lt;=DATE(2028,3,1))="",FALSE,AND('Model inputs'!C32&lt;=DATE(2026,7,1),DATE(2026,7,1)&lt;=DATE(2028,3,1))),'Model inputs'!J12,"")</f>
      </c>
    </row>
    <row r="1757">
      <c r="A1757" t="inlineStr" s="21">
        <is>
          <t xml:space="preserve">Calculation</t>
        </is>
      </c>
      <c r="B1757">
        <f>IF(IF(AND('Model inputs'!C32&lt;=DATE(2026,8,1),DATE(2026,8,1)&lt;=DATE(2028,3,1))="",FALSE,AND('Model inputs'!C32&lt;=DATE(2026,8,1),DATE(2026,8,1)&lt;=DATE(2028,3,1))),'Model inputs'!K12,"")</f>
      </c>
    </row>
    <row r="1758">
      <c r="A1758" t="inlineStr" s="21">
        <is>
          <t xml:space="preserve">Calculation</t>
        </is>
      </c>
      <c r="B1758">
        <f>IF(IF(AND('Model inputs'!C32&lt;=DATE(2026,9,1),DATE(2026,9,1)&lt;=DATE(2028,3,1))="",FALSE,AND('Model inputs'!C32&lt;=DATE(2026,9,1),DATE(2026,9,1)&lt;=DATE(2028,3,1))),'Model inputs'!L12,"")</f>
      </c>
    </row>
    <row r="1759">
      <c r="A1759" t="inlineStr" s="21">
        <is>
          <t xml:space="preserve">Calculation</t>
        </is>
      </c>
      <c r="B1759">
        <f>IF(IF(AND('Model inputs'!C32&lt;=DATE(2026,10,1),DATE(2026,10,1)&lt;=DATE(2028,3,1))="",FALSE,AND('Model inputs'!C32&lt;=DATE(2026,10,1),DATE(2026,10,1)&lt;=DATE(2028,3,1))),'Model inputs'!M12,"")</f>
      </c>
    </row>
    <row r="1760">
      <c r="A1760" t="inlineStr" s="21">
        <is>
          <t xml:space="preserve">Calculation</t>
        </is>
      </c>
      <c r="B1760">
        <f>IF(IF(AND('Model inputs'!C32&lt;=DATE(2026,11,1),DATE(2026,11,1)&lt;=DATE(2028,3,1))="",FALSE,AND('Model inputs'!C32&lt;=DATE(2026,11,1),DATE(2026,11,1)&lt;=DATE(2028,3,1))),'Model inputs'!N12,"")</f>
      </c>
    </row>
    <row r="1761">
      <c r="A1761" t="inlineStr" s="21">
        <is>
          <t xml:space="preserve">Calculation</t>
        </is>
      </c>
      <c r="B1761">
        <f>IF(IF(AND('Model inputs'!C32&lt;=DATE(2026,12,1),DATE(2026,12,1)&lt;=DATE(2028,3,1))="",FALSE,AND('Model inputs'!C32&lt;=DATE(2026,12,1),DATE(2026,12,1)&lt;=DATE(2028,3,1))),'Model inputs'!O12,"")</f>
      </c>
    </row>
    <row r="1762">
      <c r="A1762" t="inlineStr" s="21">
        <is>
          <t xml:space="preserve">Calculation</t>
        </is>
      </c>
      <c r="B1762">
        <f>IF(IF(AND('Model inputs'!C32&lt;=DATE(2027,1,1),DATE(2027,1,1)&lt;=DATE(2028,3,1))="",FALSE,AND('Model inputs'!C32&lt;=DATE(2027,1,1),DATE(2027,1,1)&lt;=DATE(2028,3,1))),'Model inputs'!P12,"")</f>
      </c>
    </row>
    <row r="1763">
      <c r="A1763" t="inlineStr" s="21">
        <is>
          <t xml:space="preserve">Calculation</t>
        </is>
      </c>
      <c r="B1763">
        <f>IF(IF(AND('Model inputs'!C32&lt;=DATE(2027,2,1),DATE(2027,2,1)&lt;=DATE(2028,3,1))="",FALSE,AND('Model inputs'!C32&lt;=DATE(2027,2,1),DATE(2027,2,1)&lt;=DATE(2028,3,1))),'Model inputs'!Q12,"")</f>
      </c>
    </row>
    <row r="1764">
      <c r="A1764" t="inlineStr" s="21">
        <is>
          <t xml:space="preserve">Calculation</t>
        </is>
      </c>
      <c r="B1764">
        <f>IF(IF(AND('Model inputs'!C32&lt;=DATE(2027,3,1),DATE(2027,3,1)&lt;=DATE(2028,3,1))="",FALSE,AND('Model inputs'!C32&lt;=DATE(2027,3,1),DATE(2027,3,1)&lt;=DATE(2028,3,1))),'Model inputs'!R12,"")</f>
      </c>
    </row>
    <row r="1765">
      <c r="A1765" t="inlineStr" s="21">
        <is>
          <t xml:space="preserve">Calculation</t>
        </is>
      </c>
      <c r="B1765">
        <f>IF(IF(AND('Model inputs'!C32&lt;=DATE(2027,4,1),DATE(2027,4,1)&lt;=DATE(2028,3,1))="",FALSE,AND('Model inputs'!C32&lt;=DATE(2027,4,1),DATE(2027,4,1)&lt;=DATE(2028,3,1))),'Model inputs'!S12,"")</f>
      </c>
    </row>
    <row r="1766">
      <c r="A1766" t="inlineStr" s="21">
        <is>
          <t xml:space="preserve">Calculation</t>
        </is>
      </c>
      <c r="B1766">
        <f>IF(IF(AND('Model inputs'!C32&lt;=DATE(2027,5,1),DATE(2027,5,1)&lt;=DATE(2028,3,1))="",FALSE,AND('Model inputs'!C32&lt;=DATE(2027,5,1),DATE(2027,5,1)&lt;=DATE(2028,3,1))),'Model inputs'!T12,"")</f>
      </c>
    </row>
    <row r="1767">
      <c r="A1767" t="inlineStr" s="21">
        <is>
          <t xml:space="preserve">Calculation</t>
        </is>
      </c>
      <c r="B1767">
        <f>IF(IF(AND('Model inputs'!C32&lt;=DATE(2027,6,1),DATE(2027,6,1)&lt;=DATE(2028,3,1))="",FALSE,AND('Model inputs'!C32&lt;=DATE(2027,6,1),DATE(2027,6,1)&lt;=DATE(2028,3,1))),'Model inputs'!U12,"")</f>
      </c>
    </row>
    <row r="1768">
      <c r="A1768" t="inlineStr" s="21">
        <is>
          <t xml:space="preserve">Calculation</t>
        </is>
      </c>
      <c r="B1768">
        <f>IF(IF(AND('Model inputs'!C32&lt;=DATE(2027,7,1),DATE(2027,7,1)&lt;=DATE(2028,3,1))="",FALSE,AND('Model inputs'!C32&lt;=DATE(2027,7,1),DATE(2027,7,1)&lt;=DATE(2028,3,1))),'Model inputs'!V12,"")</f>
      </c>
    </row>
    <row r="1769">
      <c r="A1769" t="inlineStr" s="21">
        <is>
          <t xml:space="preserve">Calculation</t>
        </is>
      </c>
      <c r="B1769">
        <f>IF(IF(AND('Model inputs'!C32&lt;=DATE(2027,8,1),DATE(2027,8,1)&lt;=DATE(2028,3,1))="",FALSE,AND('Model inputs'!C32&lt;=DATE(2027,8,1),DATE(2027,8,1)&lt;=DATE(2028,3,1))),'Model inputs'!W12,"")</f>
      </c>
    </row>
    <row r="1770">
      <c r="A1770" t="inlineStr" s="21">
        <is>
          <t xml:space="preserve">Calculation</t>
        </is>
      </c>
      <c r="B1770">
        <f>IF(IF(AND('Model inputs'!C32&lt;=DATE(2027,9,1),DATE(2027,9,1)&lt;=DATE(2028,3,1))="",FALSE,AND('Model inputs'!C32&lt;=DATE(2027,9,1),DATE(2027,9,1)&lt;=DATE(2028,3,1))),'Model inputs'!X12,"")</f>
      </c>
    </row>
    <row r="1771">
      <c r="A1771" t="inlineStr" s="21">
        <is>
          <t xml:space="preserve">Calculation</t>
        </is>
      </c>
      <c r="B1771">
        <f>IF(IF(AND('Model inputs'!C32&lt;=DATE(2027,10,1),DATE(2027,10,1)&lt;=DATE(2028,3,1))="",FALSE,AND('Model inputs'!C32&lt;=DATE(2027,10,1),DATE(2027,10,1)&lt;=DATE(2028,3,1))),'Model inputs'!Y12,"")</f>
      </c>
    </row>
    <row r="1772">
      <c r="A1772" t="inlineStr" s="21">
        <is>
          <t xml:space="preserve">Calculation</t>
        </is>
      </c>
      <c r="B1772">
        <f>IF(IF(AND('Model inputs'!C32&lt;=DATE(2027,11,1),DATE(2027,11,1)&lt;=DATE(2028,3,1))="",FALSE,AND('Model inputs'!C32&lt;=DATE(2027,11,1),DATE(2027,11,1)&lt;=DATE(2028,3,1))),'Model inputs'!Z12,"")</f>
      </c>
    </row>
    <row r="1773">
      <c r="A1773" t="inlineStr" s="21">
        <is>
          <t xml:space="preserve">Calculation</t>
        </is>
      </c>
      <c r="B1773">
        <f>IF(IF(AND('Model inputs'!C32&lt;=DATE(2027,12,1),DATE(2027,12,1)&lt;=DATE(2028,3,1))="",FALSE,AND('Model inputs'!C32&lt;=DATE(2027,12,1),DATE(2027,12,1)&lt;=DATE(2028,3,1))),'Model inputs'!AA12,"")</f>
      </c>
    </row>
    <row r="1774">
      <c r="A1774" t="inlineStr" s="21">
        <is>
          <t xml:space="preserve">Calculation</t>
        </is>
      </c>
      <c r="B1774">
        <f>IF(IF(AND('Model inputs'!C32&lt;=DATE(2028,1,1),DATE(2028,1,1)&lt;=DATE(2028,3,1))="",FALSE,AND('Model inputs'!C32&lt;=DATE(2028,1,1),DATE(2028,1,1)&lt;=DATE(2028,3,1))),'Model inputs'!AB12,"")</f>
      </c>
    </row>
    <row r="1775">
      <c r="A1775" t="inlineStr" s="21">
        <is>
          <t xml:space="preserve">Calculation</t>
        </is>
      </c>
      <c r="B1775">
        <f>IF(IF(AND('Model inputs'!C32&lt;=DATE(2028,2,1),DATE(2028,2,1)&lt;=DATE(2028,3,1))="",FALSE,AND('Model inputs'!C32&lt;=DATE(2028,2,1),DATE(2028,2,1)&lt;=DATE(2028,3,1))),'Model inputs'!AC12,"")</f>
      </c>
    </row>
    <row r="1776">
      <c r="A1776" t="inlineStr" s="21">
        <is>
          <t xml:space="preserve">Calculation</t>
        </is>
      </c>
      <c r="B1776">
        <f>IF(IF(AND('Model inputs'!C32&lt;=DATE(2028,3,1),DATE(2028,3,1)&lt;=DATE(2028,3,1))="",FALSE,AND('Model inputs'!C32&lt;=DATE(2028,3,1),DATE(2028,3,1)&lt;=DATE(2028,3,1))),'Model inputs'!AD12,"")</f>
      </c>
    </row>
    <row r="1777">
      <c r="A1777" t="inlineStr" s="21">
        <is>
          <t xml:space="preserve">Calculation</t>
        </is>
      </c>
      <c r="B1777">
        <f>IF(IF(AND('Model inputs'!C32&lt;=DATE(2028,4,1),DATE(2028,4,1)&lt;=DATE(2028,3,1))="",FALSE,AND('Model inputs'!C32&lt;=DATE(2028,4,1),DATE(2028,4,1)&lt;=DATE(2028,3,1))),'Model inputs'!AE12,"")</f>
      </c>
    </row>
    <row r="1778">
      <c r="A1778" t="inlineStr" s="21">
        <is>
          <t xml:space="preserve">Calculation</t>
        </is>
      </c>
      <c r="B1778">
        <f>IF(IF(AND('Model inputs'!C32&lt;=DATE(2028,5,1),DATE(2028,5,1)&lt;=DATE(2028,3,1))="",FALSE,AND('Model inputs'!C32&lt;=DATE(2028,5,1),DATE(2028,5,1)&lt;=DATE(2028,3,1))),'Model inputs'!AF12,"")</f>
      </c>
    </row>
    <row r="1779">
      <c r="A1779" t="inlineStr" s="21">
        <is>
          <t xml:space="preserve">Calculation</t>
        </is>
      </c>
      <c r="B1779">
        <f>IF(IF(AND('Model inputs'!C32&lt;=DATE(2028,6,1),DATE(2028,6,1)&lt;=DATE(2028,3,1))="",FALSE,AND('Model inputs'!C32&lt;=DATE(2028,6,1),DATE(2028,6,1)&lt;=DATE(2028,3,1))),'Model inputs'!AG12,"")</f>
      </c>
    </row>
    <row r="1780">
      <c r="A1780" t="inlineStr" s="21">
        <is>
          <t xml:space="preserve">Calculation</t>
        </is>
      </c>
      <c r="B1780">
        <f>IF(IF(AND('Model inputs'!C32&lt;=DATE(2028,7,1),DATE(2028,7,1)&lt;=DATE(2028,3,1))="",FALSE,AND('Model inputs'!C32&lt;=DATE(2028,7,1),DATE(2028,7,1)&lt;=DATE(2028,3,1))),'Model inputs'!AH12,"")</f>
      </c>
    </row>
    <row r="1781">
      <c r="A1781" t="inlineStr" s="21">
        <is>
          <t xml:space="preserve">Calculation</t>
        </is>
      </c>
      <c r="B1781">
        <f>IF(IF(AND('Model inputs'!C32&lt;=DATE(2028,8,1),DATE(2028,8,1)&lt;=DATE(2028,3,1))="",FALSE,AND('Model inputs'!C32&lt;=DATE(2028,8,1),DATE(2028,8,1)&lt;=DATE(2028,3,1))),'Model inputs'!AI12,"")</f>
      </c>
    </row>
    <row r="1782">
      <c r="A1782" t="inlineStr" s="21">
        <is>
          <t xml:space="preserve">Calculation</t>
        </is>
      </c>
      <c r="B1782">
        <f>IF(IF(AND('Model inputs'!C32&lt;=DATE(2028,9,1),DATE(2028,9,1)&lt;=DATE(2028,3,1))="",FALSE,AND('Model inputs'!C32&lt;=DATE(2028,9,1),DATE(2028,9,1)&lt;=DATE(2028,3,1))),'Model inputs'!AJ12,"")</f>
      </c>
    </row>
    <row r="1783">
      <c r="A1783" t="inlineStr" s="21">
        <is>
          <t xml:space="preserve">Calculation</t>
        </is>
      </c>
      <c r="B1783">
        <f>IF(AND('Model inputs'!B1750="",'Model inputs'!B1751="",'Model inputs'!B1752="",'Model inputs'!B1753="",'Model inputs'!B1754="",'Model inputs'!B1755="",'Model inputs'!B1756="",'Model inputs'!B1757="",'Model inputs'!B1758="",'Model inputs'!B1759="",'Model inputs'!B1760="",'Model inputs'!B1761="",'Model inputs'!B1762="",'Model inputs'!B1763="",'Model inputs'!B1764="",'Model inputs'!B1765="",'Model inputs'!B1766="",'Model inputs'!B1767="",'Model inputs'!B1768="",'Model inputs'!B1769="",'Model inputs'!B1770="",'Model inputs'!B1771="",'Model inputs'!B1772="",'Model inputs'!B1773="",'Model inputs'!B1774="",'Model inputs'!B1775="",'Model inputs'!B1776="",'Model inputs'!B1777="",'Model inputs'!B1778="",'Model inputs'!B1779="",'Model inputs'!B1780="",'Model inputs'!B1781="",'Model inputs'!B1782=""),"",MIN('Model inputs'!B1750,'Model inputs'!B1751,'Model inputs'!B1752,'Model inputs'!B1753,'Model inputs'!B1754,'Model inputs'!B1755,'Model inputs'!B1756,'Model inputs'!B1757,'Model inputs'!B1758,'Model inputs'!B1759,'Model inputs'!B1760,'Model inputs'!B1761,'Model inputs'!B1762,'Model inputs'!B1763,'Model inputs'!B1764,'Model inputs'!B1765,'Model inputs'!B1766,'Model inputs'!B1767,'Model inputs'!B1768,'Model inputs'!B1769,'Model inputs'!B1770,'Model inputs'!B1771,'Model inputs'!B1772,'Model inputs'!B1773,'Model inputs'!B1774,'Model inputs'!B1775,'Model inputs'!B1776,'Model inputs'!B1777,'Model inputs'!B1778,'Model inputs'!B1779,'Model inputs'!B1780,'Model inputs'!B1781,'Model inputs'!B1782))</f>
      </c>
    </row>
    <row r="1784">
      <c r="A1784" t="inlineStr" s="21">
        <is>
          <t xml:space="preserve">Calculation</t>
        </is>
      </c>
      <c r="B1784">
        <f>IF(IF(AND('Model inputs'!C32&lt;=DATE(2026,1,1),DATE(2026,1,1)&lt;=DATE(2028,4,1))="",FALSE,AND('Model inputs'!C32&lt;=DATE(2026,1,1),DATE(2026,1,1)&lt;=DATE(2028,4,1))),'Model inputs'!D12,"")</f>
      </c>
    </row>
    <row r="1785">
      <c r="A1785" t="inlineStr" s="21">
        <is>
          <t xml:space="preserve">Calculation</t>
        </is>
      </c>
      <c r="B1785">
        <f>IF(IF(AND('Model inputs'!C32&lt;=DATE(2026,2,1),DATE(2026,2,1)&lt;=DATE(2028,4,1))="",FALSE,AND('Model inputs'!C32&lt;=DATE(2026,2,1),DATE(2026,2,1)&lt;=DATE(2028,4,1))),'Model inputs'!E12,"")</f>
      </c>
    </row>
    <row r="1786">
      <c r="A1786" t="inlineStr" s="21">
        <is>
          <t xml:space="preserve">Calculation</t>
        </is>
      </c>
      <c r="B1786">
        <f>IF(IF(AND('Model inputs'!C32&lt;=DATE(2026,3,1),DATE(2026,3,1)&lt;=DATE(2028,4,1))="",FALSE,AND('Model inputs'!C32&lt;=DATE(2026,3,1),DATE(2026,3,1)&lt;=DATE(2028,4,1))),'Model inputs'!F12,"")</f>
      </c>
    </row>
    <row r="1787">
      <c r="A1787" t="inlineStr" s="21">
        <is>
          <t xml:space="preserve">Calculation</t>
        </is>
      </c>
      <c r="B1787">
        <f>IF(IF(AND('Model inputs'!C32&lt;=DATE(2026,4,1),DATE(2026,4,1)&lt;=DATE(2028,4,1))="",FALSE,AND('Model inputs'!C32&lt;=DATE(2026,4,1),DATE(2026,4,1)&lt;=DATE(2028,4,1))),'Model inputs'!G12,"")</f>
      </c>
    </row>
    <row r="1788">
      <c r="A1788" t="inlineStr" s="21">
        <is>
          <t xml:space="preserve">Calculation</t>
        </is>
      </c>
      <c r="B1788">
        <f>IF(IF(AND('Model inputs'!C32&lt;=DATE(2026,5,1),DATE(2026,5,1)&lt;=DATE(2028,4,1))="",FALSE,AND('Model inputs'!C32&lt;=DATE(2026,5,1),DATE(2026,5,1)&lt;=DATE(2028,4,1))),'Model inputs'!H12,"")</f>
      </c>
    </row>
    <row r="1789">
      <c r="A1789" t="inlineStr" s="21">
        <is>
          <t xml:space="preserve">Calculation</t>
        </is>
      </c>
      <c r="B1789">
        <f>IF(IF(AND('Model inputs'!C32&lt;=DATE(2026,6,1),DATE(2026,6,1)&lt;=DATE(2028,4,1))="",FALSE,AND('Model inputs'!C32&lt;=DATE(2026,6,1),DATE(2026,6,1)&lt;=DATE(2028,4,1))),'Model inputs'!I12,"")</f>
      </c>
    </row>
    <row r="1790">
      <c r="A1790" t="inlineStr" s="21">
        <is>
          <t xml:space="preserve">Calculation</t>
        </is>
      </c>
      <c r="B1790">
        <f>IF(IF(AND('Model inputs'!C32&lt;=DATE(2026,7,1),DATE(2026,7,1)&lt;=DATE(2028,4,1))="",FALSE,AND('Model inputs'!C32&lt;=DATE(2026,7,1),DATE(2026,7,1)&lt;=DATE(2028,4,1))),'Model inputs'!J12,"")</f>
      </c>
    </row>
    <row r="1791">
      <c r="A1791" t="inlineStr" s="21">
        <is>
          <t xml:space="preserve">Calculation</t>
        </is>
      </c>
      <c r="B1791">
        <f>IF(IF(AND('Model inputs'!C32&lt;=DATE(2026,8,1),DATE(2026,8,1)&lt;=DATE(2028,4,1))="",FALSE,AND('Model inputs'!C32&lt;=DATE(2026,8,1),DATE(2026,8,1)&lt;=DATE(2028,4,1))),'Model inputs'!K12,"")</f>
      </c>
    </row>
    <row r="1792">
      <c r="A1792" t="inlineStr" s="21">
        <is>
          <t xml:space="preserve">Calculation</t>
        </is>
      </c>
      <c r="B1792">
        <f>IF(IF(AND('Model inputs'!C32&lt;=DATE(2026,9,1),DATE(2026,9,1)&lt;=DATE(2028,4,1))="",FALSE,AND('Model inputs'!C32&lt;=DATE(2026,9,1),DATE(2026,9,1)&lt;=DATE(2028,4,1))),'Model inputs'!L12,"")</f>
      </c>
    </row>
    <row r="1793">
      <c r="A1793" t="inlineStr" s="21">
        <is>
          <t xml:space="preserve">Calculation</t>
        </is>
      </c>
      <c r="B1793">
        <f>IF(IF(AND('Model inputs'!C32&lt;=DATE(2026,10,1),DATE(2026,10,1)&lt;=DATE(2028,4,1))="",FALSE,AND('Model inputs'!C32&lt;=DATE(2026,10,1),DATE(2026,10,1)&lt;=DATE(2028,4,1))),'Model inputs'!M12,"")</f>
      </c>
    </row>
    <row r="1794">
      <c r="A1794" t="inlineStr" s="21">
        <is>
          <t xml:space="preserve">Calculation</t>
        </is>
      </c>
      <c r="B1794">
        <f>IF(IF(AND('Model inputs'!C32&lt;=DATE(2026,11,1),DATE(2026,11,1)&lt;=DATE(2028,4,1))="",FALSE,AND('Model inputs'!C32&lt;=DATE(2026,11,1),DATE(2026,11,1)&lt;=DATE(2028,4,1))),'Model inputs'!N12,"")</f>
      </c>
    </row>
    <row r="1795">
      <c r="A1795" t="inlineStr" s="21">
        <is>
          <t xml:space="preserve">Calculation</t>
        </is>
      </c>
      <c r="B1795">
        <f>IF(IF(AND('Model inputs'!C32&lt;=DATE(2026,12,1),DATE(2026,12,1)&lt;=DATE(2028,4,1))="",FALSE,AND('Model inputs'!C32&lt;=DATE(2026,12,1),DATE(2026,12,1)&lt;=DATE(2028,4,1))),'Model inputs'!O12,"")</f>
      </c>
    </row>
    <row r="1796">
      <c r="A1796" t="inlineStr" s="21">
        <is>
          <t xml:space="preserve">Calculation</t>
        </is>
      </c>
      <c r="B1796">
        <f>IF(IF(AND('Model inputs'!C32&lt;=DATE(2027,1,1),DATE(2027,1,1)&lt;=DATE(2028,4,1))="",FALSE,AND('Model inputs'!C32&lt;=DATE(2027,1,1),DATE(2027,1,1)&lt;=DATE(2028,4,1))),'Model inputs'!P12,"")</f>
      </c>
    </row>
    <row r="1797">
      <c r="A1797" t="inlineStr" s="21">
        <is>
          <t xml:space="preserve">Calculation</t>
        </is>
      </c>
      <c r="B1797">
        <f>IF(IF(AND('Model inputs'!C32&lt;=DATE(2027,2,1),DATE(2027,2,1)&lt;=DATE(2028,4,1))="",FALSE,AND('Model inputs'!C32&lt;=DATE(2027,2,1),DATE(2027,2,1)&lt;=DATE(2028,4,1))),'Model inputs'!Q12,"")</f>
      </c>
    </row>
    <row r="1798">
      <c r="A1798" t="inlineStr" s="21">
        <is>
          <t xml:space="preserve">Calculation</t>
        </is>
      </c>
      <c r="B1798">
        <f>IF(IF(AND('Model inputs'!C32&lt;=DATE(2027,3,1),DATE(2027,3,1)&lt;=DATE(2028,4,1))="",FALSE,AND('Model inputs'!C32&lt;=DATE(2027,3,1),DATE(2027,3,1)&lt;=DATE(2028,4,1))),'Model inputs'!R12,"")</f>
      </c>
    </row>
    <row r="1799">
      <c r="A1799" t="inlineStr" s="21">
        <is>
          <t xml:space="preserve">Calculation</t>
        </is>
      </c>
      <c r="B1799">
        <f>IF(IF(AND('Model inputs'!C32&lt;=DATE(2027,4,1),DATE(2027,4,1)&lt;=DATE(2028,4,1))="",FALSE,AND('Model inputs'!C32&lt;=DATE(2027,4,1),DATE(2027,4,1)&lt;=DATE(2028,4,1))),'Model inputs'!S12,"")</f>
      </c>
    </row>
    <row r="1800">
      <c r="A1800" t="inlineStr" s="21">
        <is>
          <t xml:space="preserve">Calculation</t>
        </is>
      </c>
      <c r="B1800">
        <f>IF(IF(AND('Model inputs'!C32&lt;=DATE(2027,5,1),DATE(2027,5,1)&lt;=DATE(2028,4,1))="",FALSE,AND('Model inputs'!C32&lt;=DATE(2027,5,1),DATE(2027,5,1)&lt;=DATE(2028,4,1))),'Model inputs'!T12,"")</f>
      </c>
    </row>
    <row r="1801">
      <c r="A1801" t="inlineStr" s="21">
        <is>
          <t xml:space="preserve">Calculation</t>
        </is>
      </c>
      <c r="B1801">
        <f>IF(IF(AND('Model inputs'!C32&lt;=DATE(2027,6,1),DATE(2027,6,1)&lt;=DATE(2028,4,1))="",FALSE,AND('Model inputs'!C32&lt;=DATE(2027,6,1),DATE(2027,6,1)&lt;=DATE(2028,4,1))),'Model inputs'!U12,"")</f>
      </c>
    </row>
    <row r="1802">
      <c r="A1802" t="inlineStr" s="21">
        <is>
          <t xml:space="preserve">Calculation</t>
        </is>
      </c>
      <c r="B1802">
        <f>IF(IF(AND('Model inputs'!C32&lt;=DATE(2027,7,1),DATE(2027,7,1)&lt;=DATE(2028,4,1))="",FALSE,AND('Model inputs'!C32&lt;=DATE(2027,7,1),DATE(2027,7,1)&lt;=DATE(2028,4,1))),'Model inputs'!V12,"")</f>
      </c>
    </row>
    <row r="1803">
      <c r="A1803" t="inlineStr" s="21">
        <is>
          <t xml:space="preserve">Calculation</t>
        </is>
      </c>
      <c r="B1803">
        <f>IF(IF(AND('Model inputs'!C32&lt;=DATE(2027,8,1),DATE(2027,8,1)&lt;=DATE(2028,4,1))="",FALSE,AND('Model inputs'!C32&lt;=DATE(2027,8,1),DATE(2027,8,1)&lt;=DATE(2028,4,1))),'Model inputs'!W12,"")</f>
      </c>
    </row>
    <row r="1804">
      <c r="A1804" t="inlineStr" s="21">
        <is>
          <t xml:space="preserve">Calculation</t>
        </is>
      </c>
      <c r="B1804">
        <f>IF(IF(AND('Model inputs'!C32&lt;=DATE(2027,9,1),DATE(2027,9,1)&lt;=DATE(2028,4,1))="",FALSE,AND('Model inputs'!C32&lt;=DATE(2027,9,1),DATE(2027,9,1)&lt;=DATE(2028,4,1))),'Model inputs'!X12,"")</f>
      </c>
    </row>
    <row r="1805">
      <c r="A1805" t="inlineStr" s="21">
        <is>
          <t xml:space="preserve">Calculation</t>
        </is>
      </c>
      <c r="B1805">
        <f>IF(IF(AND('Model inputs'!C32&lt;=DATE(2027,10,1),DATE(2027,10,1)&lt;=DATE(2028,4,1))="",FALSE,AND('Model inputs'!C32&lt;=DATE(2027,10,1),DATE(2027,10,1)&lt;=DATE(2028,4,1))),'Model inputs'!Y12,"")</f>
      </c>
    </row>
    <row r="1806">
      <c r="A1806" t="inlineStr" s="21">
        <is>
          <t xml:space="preserve">Calculation</t>
        </is>
      </c>
      <c r="B1806">
        <f>IF(IF(AND('Model inputs'!C32&lt;=DATE(2027,11,1),DATE(2027,11,1)&lt;=DATE(2028,4,1))="",FALSE,AND('Model inputs'!C32&lt;=DATE(2027,11,1),DATE(2027,11,1)&lt;=DATE(2028,4,1))),'Model inputs'!Z12,"")</f>
      </c>
    </row>
    <row r="1807">
      <c r="A1807" t="inlineStr" s="21">
        <is>
          <t xml:space="preserve">Calculation</t>
        </is>
      </c>
      <c r="B1807">
        <f>IF(IF(AND('Model inputs'!C32&lt;=DATE(2027,12,1),DATE(2027,12,1)&lt;=DATE(2028,4,1))="",FALSE,AND('Model inputs'!C32&lt;=DATE(2027,12,1),DATE(2027,12,1)&lt;=DATE(2028,4,1))),'Model inputs'!AA12,"")</f>
      </c>
    </row>
    <row r="1808">
      <c r="A1808" t="inlineStr" s="21">
        <is>
          <t xml:space="preserve">Calculation</t>
        </is>
      </c>
      <c r="B1808">
        <f>IF(IF(AND('Model inputs'!C32&lt;=DATE(2028,1,1),DATE(2028,1,1)&lt;=DATE(2028,4,1))="",FALSE,AND('Model inputs'!C32&lt;=DATE(2028,1,1),DATE(2028,1,1)&lt;=DATE(2028,4,1))),'Model inputs'!AB12,"")</f>
      </c>
    </row>
    <row r="1809">
      <c r="A1809" t="inlineStr" s="21">
        <is>
          <t xml:space="preserve">Calculation</t>
        </is>
      </c>
      <c r="B1809">
        <f>IF(IF(AND('Model inputs'!C32&lt;=DATE(2028,2,1),DATE(2028,2,1)&lt;=DATE(2028,4,1))="",FALSE,AND('Model inputs'!C32&lt;=DATE(2028,2,1),DATE(2028,2,1)&lt;=DATE(2028,4,1))),'Model inputs'!AC12,"")</f>
      </c>
    </row>
    <row r="1810">
      <c r="A1810" t="inlineStr" s="21">
        <is>
          <t xml:space="preserve">Calculation</t>
        </is>
      </c>
      <c r="B1810">
        <f>IF(IF(AND('Model inputs'!C32&lt;=DATE(2028,3,1),DATE(2028,3,1)&lt;=DATE(2028,4,1))="",FALSE,AND('Model inputs'!C32&lt;=DATE(2028,3,1),DATE(2028,3,1)&lt;=DATE(2028,4,1))),'Model inputs'!AD12,"")</f>
      </c>
    </row>
    <row r="1811">
      <c r="A1811" t="inlineStr" s="21">
        <is>
          <t xml:space="preserve">Calculation</t>
        </is>
      </c>
      <c r="B1811">
        <f>IF(IF(AND('Model inputs'!C32&lt;=DATE(2028,4,1),DATE(2028,4,1)&lt;=DATE(2028,4,1))="",FALSE,AND('Model inputs'!C32&lt;=DATE(2028,4,1),DATE(2028,4,1)&lt;=DATE(2028,4,1))),'Model inputs'!AE12,"")</f>
      </c>
    </row>
    <row r="1812">
      <c r="A1812" t="inlineStr" s="21">
        <is>
          <t xml:space="preserve">Calculation</t>
        </is>
      </c>
      <c r="B1812">
        <f>IF(IF(AND('Model inputs'!C32&lt;=DATE(2028,5,1),DATE(2028,5,1)&lt;=DATE(2028,4,1))="",FALSE,AND('Model inputs'!C32&lt;=DATE(2028,5,1),DATE(2028,5,1)&lt;=DATE(2028,4,1))),'Model inputs'!AF12,"")</f>
      </c>
    </row>
    <row r="1813">
      <c r="A1813" t="inlineStr" s="21">
        <is>
          <t xml:space="preserve">Calculation</t>
        </is>
      </c>
      <c r="B1813">
        <f>IF(IF(AND('Model inputs'!C32&lt;=DATE(2028,6,1),DATE(2028,6,1)&lt;=DATE(2028,4,1))="",FALSE,AND('Model inputs'!C32&lt;=DATE(2028,6,1),DATE(2028,6,1)&lt;=DATE(2028,4,1))),'Model inputs'!AG12,"")</f>
      </c>
    </row>
    <row r="1814">
      <c r="A1814" t="inlineStr" s="21">
        <is>
          <t xml:space="preserve">Calculation</t>
        </is>
      </c>
      <c r="B1814">
        <f>IF(IF(AND('Model inputs'!C32&lt;=DATE(2028,7,1),DATE(2028,7,1)&lt;=DATE(2028,4,1))="",FALSE,AND('Model inputs'!C32&lt;=DATE(2028,7,1),DATE(2028,7,1)&lt;=DATE(2028,4,1))),'Model inputs'!AH12,"")</f>
      </c>
    </row>
    <row r="1815">
      <c r="A1815" t="inlineStr" s="21">
        <is>
          <t xml:space="preserve">Calculation</t>
        </is>
      </c>
      <c r="B1815">
        <f>IF(IF(AND('Model inputs'!C32&lt;=DATE(2028,8,1),DATE(2028,8,1)&lt;=DATE(2028,4,1))="",FALSE,AND('Model inputs'!C32&lt;=DATE(2028,8,1),DATE(2028,8,1)&lt;=DATE(2028,4,1))),'Model inputs'!AI12,"")</f>
      </c>
    </row>
    <row r="1816">
      <c r="A1816" t="inlineStr" s="21">
        <is>
          <t xml:space="preserve">Calculation</t>
        </is>
      </c>
      <c r="B1816">
        <f>IF(IF(AND('Model inputs'!C32&lt;=DATE(2028,9,1),DATE(2028,9,1)&lt;=DATE(2028,4,1))="",FALSE,AND('Model inputs'!C32&lt;=DATE(2028,9,1),DATE(2028,9,1)&lt;=DATE(2028,4,1))),'Model inputs'!AJ12,"")</f>
      </c>
    </row>
    <row r="1817">
      <c r="A1817" t="inlineStr" s="21">
        <is>
          <t xml:space="preserve">Calculation</t>
        </is>
      </c>
      <c r="B1817">
        <f>IF(AND('Model inputs'!B1784="",'Model inputs'!B1785="",'Model inputs'!B1786="",'Model inputs'!B1787="",'Model inputs'!B1788="",'Model inputs'!B1789="",'Model inputs'!B1790="",'Model inputs'!B1791="",'Model inputs'!B1792="",'Model inputs'!B1793="",'Model inputs'!B1794="",'Model inputs'!B1795="",'Model inputs'!B1796="",'Model inputs'!B1797="",'Model inputs'!B1798="",'Model inputs'!B1799="",'Model inputs'!B1800="",'Model inputs'!B1801="",'Model inputs'!B1802="",'Model inputs'!B1803="",'Model inputs'!B1804="",'Model inputs'!B1805="",'Model inputs'!B1806="",'Model inputs'!B1807="",'Model inputs'!B1808="",'Model inputs'!B1809="",'Model inputs'!B1810="",'Model inputs'!B1811="",'Model inputs'!B1812="",'Model inputs'!B1813="",'Model inputs'!B1814="",'Model inputs'!B1815="",'Model inputs'!B1816=""),"",MIN('Model inputs'!B1784,'Model inputs'!B1785,'Model inputs'!B1786,'Model inputs'!B1787,'Model inputs'!B1788,'Model inputs'!B1789,'Model inputs'!B1790,'Model inputs'!B1791,'Model inputs'!B1792,'Model inputs'!B1793,'Model inputs'!B1794,'Model inputs'!B1795,'Model inputs'!B1796,'Model inputs'!B1797,'Model inputs'!B1798,'Model inputs'!B1799,'Model inputs'!B1800,'Model inputs'!B1801,'Model inputs'!B1802,'Model inputs'!B1803,'Model inputs'!B1804,'Model inputs'!B1805,'Model inputs'!B1806,'Model inputs'!B1807,'Model inputs'!B1808,'Model inputs'!B1809,'Model inputs'!B1810,'Model inputs'!B1811,'Model inputs'!B1812,'Model inputs'!B1813,'Model inputs'!B1814,'Model inputs'!B1815,'Model inputs'!B1816))</f>
      </c>
    </row>
    <row r="1818">
      <c r="A1818" t="inlineStr" s="21">
        <is>
          <t xml:space="preserve">Calculation</t>
        </is>
      </c>
      <c r="B1818">
        <f>IF(IF(AND('Model inputs'!C32&lt;=DATE(2026,1,1),DATE(2026,1,1)&lt;=DATE(2028,5,1))="",FALSE,AND('Model inputs'!C32&lt;=DATE(2026,1,1),DATE(2026,1,1)&lt;=DATE(2028,5,1))),'Model inputs'!D12,"")</f>
      </c>
    </row>
    <row r="1819">
      <c r="A1819" t="inlineStr" s="21">
        <is>
          <t xml:space="preserve">Calculation</t>
        </is>
      </c>
      <c r="B1819">
        <f>IF(IF(AND('Model inputs'!C32&lt;=DATE(2026,2,1),DATE(2026,2,1)&lt;=DATE(2028,5,1))="",FALSE,AND('Model inputs'!C32&lt;=DATE(2026,2,1),DATE(2026,2,1)&lt;=DATE(2028,5,1))),'Model inputs'!E12,"")</f>
      </c>
    </row>
    <row r="1820">
      <c r="A1820" t="inlineStr" s="21">
        <is>
          <t xml:space="preserve">Calculation</t>
        </is>
      </c>
      <c r="B1820">
        <f>IF(IF(AND('Model inputs'!C32&lt;=DATE(2026,3,1),DATE(2026,3,1)&lt;=DATE(2028,5,1))="",FALSE,AND('Model inputs'!C32&lt;=DATE(2026,3,1),DATE(2026,3,1)&lt;=DATE(2028,5,1))),'Model inputs'!F12,"")</f>
      </c>
    </row>
    <row r="1821">
      <c r="A1821" t="inlineStr" s="21">
        <is>
          <t xml:space="preserve">Calculation</t>
        </is>
      </c>
      <c r="B1821">
        <f>IF(IF(AND('Model inputs'!C32&lt;=DATE(2026,4,1),DATE(2026,4,1)&lt;=DATE(2028,5,1))="",FALSE,AND('Model inputs'!C32&lt;=DATE(2026,4,1),DATE(2026,4,1)&lt;=DATE(2028,5,1))),'Model inputs'!G12,"")</f>
      </c>
    </row>
    <row r="1822">
      <c r="A1822" t="inlineStr" s="21">
        <is>
          <t xml:space="preserve">Calculation</t>
        </is>
      </c>
      <c r="B1822">
        <f>IF(IF(AND('Model inputs'!C32&lt;=DATE(2026,5,1),DATE(2026,5,1)&lt;=DATE(2028,5,1))="",FALSE,AND('Model inputs'!C32&lt;=DATE(2026,5,1),DATE(2026,5,1)&lt;=DATE(2028,5,1))),'Model inputs'!H12,"")</f>
      </c>
    </row>
    <row r="1823">
      <c r="A1823" t="inlineStr" s="21">
        <is>
          <t xml:space="preserve">Calculation</t>
        </is>
      </c>
      <c r="B1823">
        <f>IF(IF(AND('Model inputs'!C32&lt;=DATE(2026,6,1),DATE(2026,6,1)&lt;=DATE(2028,5,1))="",FALSE,AND('Model inputs'!C32&lt;=DATE(2026,6,1),DATE(2026,6,1)&lt;=DATE(2028,5,1))),'Model inputs'!I12,"")</f>
      </c>
    </row>
    <row r="1824">
      <c r="A1824" t="inlineStr" s="21">
        <is>
          <t xml:space="preserve">Calculation</t>
        </is>
      </c>
      <c r="B1824">
        <f>IF(IF(AND('Model inputs'!C32&lt;=DATE(2026,7,1),DATE(2026,7,1)&lt;=DATE(2028,5,1))="",FALSE,AND('Model inputs'!C32&lt;=DATE(2026,7,1),DATE(2026,7,1)&lt;=DATE(2028,5,1))),'Model inputs'!J12,"")</f>
      </c>
    </row>
    <row r="1825">
      <c r="A1825" t="inlineStr" s="21">
        <is>
          <t xml:space="preserve">Calculation</t>
        </is>
      </c>
      <c r="B1825">
        <f>IF(IF(AND('Model inputs'!C32&lt;=DATE(2026,8,1),DATE(2026,8,1)&lt;=DATE(2028,5,1))="",FALSE,AND('Model inputs'!C32&lt;=DATE(2026,8,1),DATE(2026,8,1)&lt;=DATE(2028,5,1))),'Model inputs'!K12,"")</f>
      </c>
    </row>
    <row r="1826">
      <c r="A1826" t="inlineStr" s="21">
        <is>
          <t xml:space="preserve">Calculation</t>
        </is>
      </c>
      <c r="B1826">
        <f>IF(IF(AND('Model inputs'!C32&lt;=DATE(2026,9,1),DATE(2026,9,1)&lt;=DATE(2028,5,1))="",FALSE,AND('Model inputs'!C32&lt;=DATE(2026,9,1),DATE(2026,9,1)&lt;=DATE(2028,5,1))),'Model inputs'!L12,"")</f>
      </c>
    </row>
    <row r="1827">
      <c r="A1827" t="inlineStr" s="21">
        <is>
          <t xml:space="preserve">Calculation</t>
        </is>
      </c>
      <c r="B1827">
        <f>IF(IF(AND('Model inputs'!C32&lt;=DATE(2026,10,1),DATE(2026,10,1)&lt;=DATE(2028,5,1))="",FALSE,AND('Model inputs'!C32&lt;=DATE(2026,10,1),DATE(2026,10,1)&lt;=DATE(2028,5,1))),'Model inputs'!M12,"")</f>
      </c>
    </row>
    <row r="1828">
      <c r="A1828" t="inlineStr" s="21">
        <is>
          <t xml:space="preserve">Calculation</t>
        </is>
      </c>
      <c r="B1828">
        <f>IF(IF(AND('Model inputs'!C32&lt;=DATE(2026,11,1),DATE(2026,11,1)&lt;=DATE(2028,5,1))="",FALSE,AND('Model inputs'!C32&lt;=DATE(2026,11,1),DATE(2026,11,1)&lt;=DATE(2028,5,1))),'Model inputs'!N12,"")</f>
      </c>
    </row>
    <row r="1829">
      <c r="A1829" t="inlineStr" s="21">
        <is>
          <t xml:space="preserve">Calculation</t>
        </is>
      </c>
      <c r="B1829">
        <f>IF(IF(AND('Model inputs'!C32&lt;=DATE(2026,12,1),DATE(2026,12,1)&lt;=DATE(2028,5,1))="",FALSE,AND('Model inputs'!C32&lt;=DATE(2026,12,1),DATE(2026,12,1)&lt;=DATE(2028,5,1))),'Model inputs'!O12,"")</f>
      </c>
    </row>
    <row r="1830">
      <c r="A1830" t="inlineStr" s="21">
        <is>
          <t xml:space="preserve">Calculation</t>
        </is>
      </c>
      <c r="B1830">
        <f>IF(IF(AND('Model inputs'!C32&lt;=DATE(2027,1,1),DATE(2027,1,1)&lt;=DATE(2028,5,1))="",FALSE,AND('Model inputs'!C32&lt;=DATE(2027,1,1),DATE(2027,1,1)&lt;=DATE(2028,5,1))),'Model inputs'!P12,"")</f>
      </c>
    </row>
    <row r="1831">
      <c r="A1831" t="inlineStr" s="21">
        <is>
          <t xml:space="preserve">Calculation</t>
        </is>
      </c>
      <c r="B1831">
        <f>IF(IF(AND('Model inputs'!C32&lt;=DATE(2027,2,1),DATE(2027,2,1)&lt;=DATE(2028,5,1))="",FALSE,AND('Model inputs'!C32&lt;=DATE(2027,2,1),DATE(2027,2,1)&lt;=DATE(2028,5,1))),'Model inputs'!Q12,"")</f>
      </c>
    </row>
    <row r="1832">
      <c r="A1832" t="inlineStr" s="21">
        <is>
          <t xml:space="preserve">Calculation</t>
        </is>
      </c>
      <c r="B1832">
        <f>IF(IF(AND('Model inputs'!C32&lt;=DATE(2027,3,1),DATE(2027,3,1)&lt;=DATE(2028,5,1))="",FALSE,AND('Model inputs'!C32&lt;=DATE(2027,3,1),DATE(2027,3,1)&lt;=DATE(2028,5,1))),'Model inputs'!R12,"")</f>
      </c>
    </row>
    <row r="1833">
      <c r="A1833" t="inlineStr" s="21">
        <is>
          <t xml:space="preserve">Calculation</t>
        </is>
      </c>
      <c r="B1833">
        <f>IF(IF(AND('Model inputs'!C32&lt;=DATE(2027,4,1),DATE(2027,4,1)&lt;=DATE(2028,5,1))="",FALSE,AND('Model inputs'!C32&lt;=DATE(2027,4,1),DATE(2027,4,1)&lt;=DATE(2028,5,1))),'Model inputs'!S12,"")</f>
      </c>
    </row>
    <row r="1834">
      <c r="A1834" t="inlineStr" s="21">
        <is>
          <t xml:space="preserve">Calculation</t>
        </is>
      </c>
      <c r="B1834">
        <f>IF(IF(AND('Model inputs'!C32&lt;=DATE(2027,5,1),DATE(2027,5,1)&lt;=DATE(2028,5,1))="",FALSE,AND('Model inputs'!C32&lt;=DATE(2027,5,1),DATE(2027,5,1)&lt;=DATE(2028,5,1))),'Model inputs'!T12,"")</f>
      </c>
    </row>
    <row r="1835">
      <c r="A1835" t="inlineStr" s="21">
        <is>
          <t xml:space="preserve">Calculation</t>
        </is>
      </c>
      <c r="B1835">
        <f>IF(IF(AND('Model inputs'!C32&lt;=DATE(2027,6,1),DATE(2027,6,1)&lt;=DATE(2028,5,1))="",FALSE,AND('Model inputs'!C32&lt;=DATE(2027,6,1),DATE(2027,6,1)&lt;=DATE(2028,5,1))),'Model inputs'!U12,"")</f>
      </c>
    </row>
    <row r="1836">
      <c r="A1836" t="inlineStr" s="21">
        <is>
          <t xml:space="preserve">Calculation</t>
        </is>
      </c>
      <c r="B1836">
        <f>IF(IF(AND('Model inputs'!C32&lt;=DATE(2027,7,1),DATE(2027,7,1)&lt;=DATE(2028,5,1))="",FALSE,AND('Model inputs'!C32&lt;=DATE(2027,7,1),DATE(2027,7,1)&lt;=DATE(2028,5,1))),'Model inputs'!V12,"")</f>
      </c>
    </row>
    <row r="1837">
      <c r="A1837" t="inlineStr" s="21">
        <is>
          <t xml:space="preserve">Calculation</t>
        </is>
      </c>
      <c r="B1837">
        <f>IF(IF(AND('Model inputs'!C32&lt;=DATE(2027,8,1),DATE(2027,8,1)&lt;=DATE(2028,5,1))="",FALSE,AND('Model inputs'!C32&lt;=DATE(2027,8,1),DATE(2027,8,1)&lt;=DATE(2028,5,1))),'Model inputs'!W12,"")</f>
      </c>
    </row>
    <row r="1838">
      <c r="A1838" t="inlineStr" s="21">
        <is>
          <t xml:space="preserve">Calculation</t>
        </is>
      </c>
      <c r="B1838">
        <f>IF(IF(AND('Model inputs'!C32&lt;=DATE(2027,9,1),DATE(2027,9,1)&lt;=DATE(2028,5,1))="",FALSE,AND('Model inputs'!C32&lt;=DATE(2027,9,1),DATE(2027,9,1)&lt;=DATE(2028,5,1))),'Model inputs'!X12,"")</f>
      </c>
    </row>
    <row r="1839">
      <c r="A1839" t="inlineStr" s="21">
        <is>
          <t xml:space="preserve">Calculation</t>
        </is>
      </c>
      <c r="B1839">
        <f>IF(IF(AND('Model inputs'!C32&lt;=DATE(2027,10,1),DATE(2027,10,1)&lt;=DATE(2028,5,1))="",FALSE,AND('Model inputs'!C32&lt;=DATE(2027,10,1),DATE(2027,10,1)&lt;=DATE(2028,5,1))),'Model inputs'!Y12,"")</f>
      </c>
    </row>
    <row r="1840">
      <c r="A1840" t="inlineStr" s="21">
        <is>
          <t xml:space="preserve">Calculation</t>
        </is>
      </c>
      <c r="B1840">
        <f>IF(IF(AND('Model inputs'!C32&lt;=DATE(2027,11,1),DATE(2027,11,1)&lt;=DATE(2028,5,1))="",FALSE,AND('Model inputs'!C32&lt;=DATE(2027,11,1),DATE(2027,11,1)&lt;=DATE(2028,5,1))),'Model inputs'!Z12,"")</f>
      </c>
    </row>
    <row r="1841">
      <c r="A1841" t="inlineStr" s="21">
        <is>
          <t xml:space="preserve">Calculation</t>
        </is>
      </c>
      <c r="B1841">
        <f>IF(IF(AND('Model inputs'!C32&lt;=DATE(2027,12,1),DATE(2027,12,1)&lt;=DATE(2028,5,1))="",FALSE,AND('Model inputs'!C32&lt;=DATE(2027,12,1),DATE(2027,12,1)&lt;=DATE(2028,5,1))),'Model inputs'!AA12,"")</f>
      </c>
    </row>
    <row r="1842">
      <c r="A1842" t="inlineStr" s="21">
        <is>
          <t xml:space="preserve">Calculation</t>
        </is>
      </c>
      <c r="B1842">
        <f>IF(IF(AND('Model inputs'!C32&lt;=DATE(2028,1,1),DATE(2028,1,1)&lt;=DATE(2028,5,1))="",FALSE,AND('Model inputs'!C32&lt;=DATE(2028,1,1),DATE(2028,1,1)&lt;=DATE(2028,5,1))),'Model inputs'!AB12,"")</f>
      </c>
    </row>
    <row r="1843">
      <c r="A1843" t="inlineStr" s="21">
        <is>
          <t xml:space="preserve">Calculation</t>
        </is>
      </c>
      <c r="B1843">
        <f>IF(IF(AND('Model inputs'!C32&lt;=DATE(2028,2,1),DATE(2028,2,1)&lt;=DATE(2028,5,1))="",FALSE,AND('Model inputs'!C32&lt;=DATE(2028,2,1),DATE(2028,2,1)&lt;=DATE(2028,5,1))),'Model inputs'!AC12,"")</f>
      </c>
    </row>
    <row r="1844">
      <c r="A1844" t="inlineStr" s="21">
        <is>
          <t xml:space="preserve">Calculation</t>
        </is>
      </c>
      <c r="B1844">
        <f>IF(IF(AND('Model inputs'!C32&lt;=DATE(2028,3,1),DATE(2028,3,1)&lt;=DATE(2028,5,1))="",FALSE,AND('Model inputs'!C32&lt;=DATE(2028,3,1),DATE(2028,3,1)&lt;=DATE(2028,5,1))),'Model inputs'!AD12,"")</f>
      </c>
    </row>
    <row r="1845">
      <c r="A1845" t="inlineStr" s="21">
        <is>
          <t xml:space="preserve">Calculation</t>
        </is>
      </c>
      <c r="B1845">
        <f>IF(IF(AND('Model inputs'!C32&lt;=DATE(2028,4,1),DATE(2028,4,1)&lt;=DATE(2028,5,1))="",FALSE,AND('Model inputs'!C32&lt;=DATE(2028,4,1),DATE(2028,4,1)&lt;=DATE(2028,5,1))),'Model inputs'!AE12,"")</f>
      </c>
    </row>
    <row r="1846">
      <c r="A1846" t="inlineStr" s="21">
        <is>
          <t xml:space="preserve">Calculation</t>
        </is>
      </c>
      <c r="B1846">
        <f>IF(IF(AND('Model inputs'!C32&lt;=DATE(2028,5,1),DATE(2028,5,1)&lt;=DATE(2028,5,1))="",FALSE,AND('Model inputs'!C32&lt;=DATE(2028,5,1),DATE(2028,5,1)&lt;=DATE(2028,5,1))),'Model inputs'!AF12,"")</f>
      </c>
    </row>
    <row r="1847">
      <c r="A1847" t="inlineStr" s="21">
        <is>
          <t xml:space="preserve">Calculation</t>
        </is>
      </c>
      <c r="B1847">
        <f>IF(IF(AND('Model inputs'!C32&lt;=DATE(2028,6,1),DATE(2028,6,1)&lt;=DATE(2028,5,1))="",FALSE,AND('Model inputs'!C32&lt;=DATE(2028,6,1),DATE(2028,6,1)&lt;=DATE(2028,5,1))),'Model inputs'!AG12,"")</f>
      </c>
    </row>
    <row r="1848">
      <c r="A1848" t="inlineStr" s="21">
        <is>
          <t xml:space="preserve">Calculation</t>
        </is>
      </c>
      <c r="B1848">
        <f>IF(IF(AND('Model inputs'!C32&lt;=DATE(2028,7,1),DATE(2028,7,1)&lt;=DATE(2028,5,1))="",FALSE,AND('Model inputs'!C32&lt;=DATE(2028,7,1),DATE(2028,7,1)&lt;=DATE(2028,5,1))),'Model inputs'!AH12,"")</f>
      </c>
    </row>
    <row r="1849">
      <c r="A1849" t="inlineStr" s="21">
        <is>
          <t xml:space="preserve">Calculation</t>
        </is>
      </c>
      <c r="B1849">
        <f>IF(IF(AND('Model inputs'!C32&lt;=DATE(2028,8,1),DATE(2028,8,1)&lt;=DATE(2028,5,1))="",FALSE,AND('Model inputs'!C32&lt;=DATE(2028,8,1),DATE(2028,8,1)&lt;=DATE(2028,5,1))),'Model inputs'!AI12,"")</f>
      </c>
    </row>
    <row r="1850">
      <c r="A1850" t="inlineStr" s="21">
        <is>
          <t xml:space="preserve">Calculation</t>
        </is>
      </c>
      <c r="B1850">
        <f>IF(IF(AND('Model inputs'!C32&lt;=DATE(2028,9,1),DATE(2028,9,1)&lt;=DATE(2028,5,1))="",FALSE,AND('Model inputs'!C32&lt;=DATE(2028,9,1),DATE(2028,9,1)&lt;=DATE(2028,5,1))),'Model inputs'!AJ12,"")</f>
      </c>
    </row>
    <row r="1851">
      <c r="A1851" t="inlineStr" s="21">
        <is>
          <t xml:space="preserve">Calculation</t>
        </is>
      </c>
      <c r="B1851">
        <f>IF(AND('Model inputs'!B1818="",'Model inputs'!B1819="",'Model inputs'!B1820="",'Model inputs'!B1821="",'Model inputs'!B1822="",'Model inputs'!B1823="",'Model inputs'!B1824="",'Model inputs'!B1825="",'Model inputs'!B1826="",'Model inputs'!B1827="",'Model inputs'!B1828="",'Model inputs'!B1829="",'Model inputs'!B1830="",'Model inputs'!B1831="",'Model inputs'!B1832="",'Model inputs'!B1833="",'Model inputs'!B1834="",'Model inputs'!B1835="",'Model inputs'!B1836="",'Model inputs'!B1837="",'Model inputs'!B1838="",'Model inputs'!B1839="",'Model inputs'!B1840="",'Model inputs'!B1841="",'Model inputs'!B1842="",'Model inputs'!B1843="",'Model inputs'!B1844="",'Model inputs'!B1845="",'Model inputs'!B1846="",'Model inputs'!B1847="",'Model inputs'!B1848="",'Model inputs'!B1849="",'Model inputs'!B1850=""),"",MIN('Model inputs'!B1818,'Model inputs'!B1819,'Model inputs'!B1820,'Model inputs'!B1821,'Model inputs'!B1822,'Model inputs'!B1823,'Model inputs'!B1824,'Model inputs'!B1825,'Model inputs'!B1826,'Model inputs'!B1827,'Model inputs'!B1828,'Model inputs'!B1829,'Model inputs'!B1830,'Model inputs'!B1831,'Model inputs'!B1832,'Model inputs'!B1833,'Model inputs'!B1834,'Model inputs'!B1835,'Model inputs'!B1836,'Model inputs'!B1837,'Model inputs'!B1838,'Model inputs'!B1839,'Model inputs'!B1840,'Model inputs'!B1841,'Model inputs'!B1842,'Model inputs'!B1843,'Model inputs'!B1844,'Model inputs'!B1845,'Model inputs'!B1846,'Model inputs'!B1847,'Model inputs'!B1848,'Model inputs'!B1849,'Model inputs'!B1850))</f>
      </c>
    </row>
    <row r="1852">
      <c r="A1852" t="inlineStr" s="21">
        <is>
          <t xml:space="preserve">Calculation</t>
        </is>
      </c>
      <c r="B1852">
        <f>IF(IF(AND('Model inputs'!C32&lt;=DATE(2026,1,1),DATE(2026,1,1)&lt;=DATE(2028,6,1))="",FALSE,AND('Model inputs'!C32&lt;=DATE(2026,1,1),DATE(2026,1,1)&lt;=DATE(2028,6,1))),'Model inputs'!D12,"")</f>
      </c>
    </row>
    <row r="1853">
      <c r="A1853" t="inlineStr" s="21">
        <is>
          <t xml:space="preserve">Calculation</t>
        </is>
      </c>
      <c r="B1853">
        <f>IF(IF(AND('Model inputs'!C32&lt;=DATE(2026,2,1),DATE(2026,2,1)&lt;=DATE(2028,6,1))="",FALSE,AND('Model inputs'!C32&lt;=DATE(2026,2,1),DATE(2026,2,1)&lt;=DATE(2028,6,1))),'Model inputs'!E12,"")</f>
      </c>
    </row>
    <row r="1854">
      <c r="A1854" t="inlineStr" s="21">
        <is>
          <t xml:space="preserve">Calculation</t>
        </is>
      </c>
      <c r="B1854">
        <f>IF(IF(AND('Model inputs'!C32&lt;=DATE(2026,3,1),DATE(2026,3,1)&lt;=DATE(2028,6,1))="",FALSE,AND('Model inputs'!C32&lt;=DATE(2026,3,1),DATE(2026,3,1)&lt;=DATE(2028,6,1))),'Model inputs'!F12,"")</f>
      </c>
    </row>
    <row r="1855">
      <c r="A1855" t="inlineStr" s="21">
        <is>
          <t xml:space="preserve">Calculation</t>
        </is>
      </c>
      <c r="B1855">
        <f>IF(IF(AND('Model inputs'!C32&lt;=DATE(2026,4,1),DATE(2026,4,1)&lt;=DATE(2028,6,1))="",FALSE,AND('Model inputs'!C32&lt;=DATE(2026,4,1),DATE(2026,4,1)&lt;=DATE(2028,6,1))),'Model inputs'!G12,"")</f>
      </c>
    </row>
    <row r="1856">
      <c r="A1856" t="inlineStr" s="21">
        <is>
          <t xml:space="preserve">Calculation</t>
        </is>
      </c>
      <c r="B1856">
        <f>IF(IF(AND('Model inputs'!C32&lt;=DATE(2026,5,1),DATE(2026,5,1)&lt;=DATE(2028,6,1))="",FALSE,AND('Model inputs'!C32&lt;=DATE(2026,5,1),DATE(2026,5,1)&lt;=DATE(2028,6,1))),'Model inputs'!H12,"")</f>
      </c>
    </row>
    <row r="1857">
      <c r="A1857" t="inlineStr" s="21">
        <is>
          <t xml:space="preserve">Calculation</t>
        </is>
      </c>
      <c r="B1857">
        <f>IF(IF(AND('Model inputs'!C32&lt;=DATE(2026,6,1),DATE(2026,6,1)&lt;=DATE(2028,6,1))="",FALSE,AND('Model inputs'!C32&lt;=DATE(2026,6,1),DATE(2026,6,1)&lt;=DATE(2028,6,1))),'Model inputs'!I12,"")</f>
      </c>
    </row>
    <row r="1858">
      <c r="A1858" t="inlineStr" s="21">
        <is>
          <t xml:space="preserve">Calculation</t>
        </is>
      </c>
      <c r="B1858">
        <f>IF(IF(AND('Model inputs'!C32&lt;=DATE(2026,7,1),DATE(2026,7,1)&lt;=DATE(2028,6,1))="",FALSE,AND('Model inputs'!C32&lt;=DATE(2026,7,1),DATE(2026,7,1)&lt;=DATE(2028,6,1))),'Model inputs'!J12,"")</f>
      </c>
    </row>
    <row r="1859">
      <c r="A1859" t="inlineStr" s="21">
        <is>
          <t xml:space="preserve">Calculation</t>
        </is>
      </c>
      <c r="B1859">
        <f>IF(IF(AND('Model inputs'!C32&lt;=DATE(2026,8,1),DATE(2026,8,1)&lt;=DATE(2028,6,1))="",FALSE,AND('Model inputs'!C32&lt;=DATE(2026,8,1),DATE(2026,8,1)&lt;=DATE(2028,6,1))),'Model inputs'!K12,"")</f>
      </c>
    </row>
    <row r="1860">
      <c r="A1860" t="inlineStr" s="21">
        <is>
          <t xml:space="preserve">Calculation</t>
        </is>
      </c>
      <c r="B1860">
        <f>IF(IF(AND('Model inputs'!C32&lt;=DATE(2026,9,1),DATE(2026,9,1)&lt;=DATE(2028,6,1))="",FALSE,AND('Model inputs'!C32&lt;=DATE(2026,9,1),DATE(2026,9,1)&lt;=DATE(2028,6,1))),'Model inputs'!L12,"")</f>
      </c>
    </row>
    <row r="1861">
      <c r="A1861" t="inlineStr" s="21">
        <is>
          <t xml:space="preserve">Calculation</t>
        </is>
      </c>
      <c r="B1861">
        <f>IF(IF(AND('Model inputs'!C32&lt;=DATE(2026,10,1),DATE(2026,10,1)&lt;=DATE(2028,6,1))="",FALSE,AND('Model inputs'!C32&lt;=DATE(2026,10,1),DATE(2026,10,1)&lt;=DATE(2028,6,1))),'Model inputs'!M12,"")</f>
      </c>
    </row>
    <row r="1862">
      <c r="A1862" t="inlineStr" s="21">
        <is>
          <t xml:space="preserve">Calculation</t>
        </is>
      </c>
      <c r="B1862">
        <f>IF(IF(AND('Model inputs'!C32&lt;=DATE(2026,11,1),DATE(2026,11,1)&lt;=DATE(2028,6,1))="",FALSE,AND('Model inputs'!C32&lt;=DATE(2026,11,1),DATE(2026,11,1)&lt;=DATE(2028,6,1))),'Model inputs'!N12,"")</f>
      </c>
    </row>
    <row r="1863">
      <c r="A1863" t="inlineStr" s="21">
        <is>
          <t xml:space="preserve">Calculation</t>
        </is>
      </c>
      <c r="B1863">
        <f>IF(IF(AND('Model inputs'!C32&lt;=DATE(2026,12,1),DATE(2026,12,1)&lt;=DATE(2028,6,1))="",FALSE,AND('Model inputs'!C32&lt;=DATE(2026,12,1),DATE(2026,12,1)&lt;=DATE(2028,6,1))),'Model inputs'!O12,"")</f>
      </c>
    </row>
    <row r="1864">
      <c r="A1864" t="inlineStr" s="21">
        <is>
          <t xml:space="preserve">Calculation</t>
        </is>
      </c>
      <c r="B1864">
        <f>IF(IF(AND('Model inputs'!C32&lt;=DATE(2027,1,1),DATE(2027,1,1)&lt;=DATE(2028,6,1))="",FALSE,AND('Model inputs'!C32&lt;=DATE(2027,1,1),DATE(2027,1,1)&lt;=DATE(2028,6,1))),'Model inputs'!P12,"")</f>
      </c>
    </row>
    <row r="1865">
      <c r="A1865" t="inlineStr" s="21">
        <is>
          <t xml:space="preserve">Calculation</t>
        </is>
      </c>
      <c r="B1865">
        <f>IF(IF(AND('Model inputs'!C32&lt;=DATE(2027,2,1),DATE(2027,2,1)&lt;=DATE(2028,6,1))="",FALSE,AND('Model inputs'!C32&lt;=DATE(2027,2,1),DATE(2027,2,1)&lt;=DATE(2028,6,1))),'Model inputs'!Q12,"")</f>
      </c>
    </row>
    <row r="1866">
      <c r="A1866" t="inlineStr" s="21">
        <is>
          <t xml:space="preserve">Calculation</t>
        </is>
      </c>
      <c r="B1866">
        <f>IF(IF(AND('Model inputs'!C32&lt;=DATE(2027,3,1),DATE(2027,3,1)&lt;=DATE(2028,6,1))="",FALSE,AND('Model inputs'!C32&lt;=DATE(2027,3,1),DATE(2027,3,1)&lt;=DATE(2028,6,1))),'Model inputs'!R12,"")</f>
      </c>
    </row>
    <row r="1867">
      <c r="A1867" t="inlineStr" s="21">
        <is>
          <t xml:space="preserve">Calculation</t>
        </is>
      </c>
      <c r="B1867">
        <f>IF(IF(AND('Model inputs'!C32&lt;=DATE(2027,4,1),DATE(2027,4,1)&lt;=DATE(2028,6,1))="",FALSE,AND('Model inputs'!C32&lt;=DATE(2027,4,1),DATE(2027,4,1)&lt;=DATE(2028,6,1))),'Model inputs'!S12,"")</f>
      </c>
    </row>
    <row r="1868">
      <c r="A1868" t="inlineStr" s="21">
        <is>
          <t xml:space="preserve">Calculation</t>
        </is>
      </c>
      <c r="B1868">
        <f>IF(IF(AND('Model inputs'!C32&lt;=DATE(2027,5,1),DATE(2027,5,1)&lt;=DATE(2028,6,1))="",FALSE,AND('Model inputs'!C32&lt;=DATE(2027,5,1),DATE(2027,5,1)&lt;=DATE(2028,6,1))),'Model inputs'!T12,"")</f>
      </c>
    </row>
    <row r="1869">
      <c r="A1869" t="inlineStr" s="21">
        <is>
          <t xml:space="preserve">Calculation</t>
        </is>
      </c>
      <c r="B1869">
        <f>IF(IF(AND('Model inputs'!C32&lt;=DATE(2027,6,1),DATE(2027,6,1)&lt;=DATE(2028,6,1))="",FALSE,AND('Model inputs'!C32&lt;=DATE(2027,6,1),DATE(2027,6,1)&lt;=DATE(2028,6,1))),'Model inputs'!U12,"")</f>
      </c>
    </row>
    <row r="1870">
      <c r="A1870" t="inlineStr" s="21">
        <is>
          <t xml:space="preserve">Calculation</t>
        </is>
      </c>
      <c r="B1870">
        <f>IF(IF(AND('Model inputs'!C32&lt;=DATE(2027,7,1),DATE(2027,7,1)&lt;=DATE(2028,6,1))="",FALSE,AND('Model inputs'!C32&lt;=DATE(2027,7,1),DATE(2027,7,1)&lt;=DATE(2028,6,1))),'Model inputs'!V12,"")</f>
      </c>
    </row>
    <row r="1871">
      <c r="A1871" t="inlineStr" s="21">
        <is>
          <t xml:space="preserve">Calculation</t>
        </is>
      </c>
      <c r="B1871">
        <f>IF(IF(AND('Model inputs'!C32&lt;=DATE(2027,8,1),DATE(2027,8,1)&lt;=DATE(2028,6,1))="",FALSE,AND('Model inputs'!C32&lt;=DATE(2027,8,1),DATE(2027,8,1)&lt;=DATE(2028,6,1))),'Model inputs'!W12,"")</f>
      </c>
    </row>
    <row r="1872">
      <c r="A1872" t="inlineStr" s="21">
        <is>
          <t xml:space="preserve">Calculation</t>
        </is>
      </c>
      <c r="B1872">
        <f>IF(IF(AND('Model inputs'!C32&lt;=DATE(2027,9,1),DATE(2027,9,1)&lt;=DATE(2028,6,1))="",FALSE,AND('Model inputs'!C32&lt;=DATE(2027,9,1),DATE(2027,9,1)&lt;=DATE(2028,6,1))),'Model inputs'!X12,"")</f>
      </c>
    </row>
    <row r="1873">
      <c r="A1873" t="inlineStr" s="21">
        <is>
          <t xml:space="preserve">Calculation</t>
        </is>
      </c>
      <c r="B1873">
        <f>IF(IF(AND('Model inputs'!C32&lt;=DATE(2027,10,1),DATE(2027,10,1)&lt;=DATE(2028,6,1))="",FALSE,AND('Model inputs'!C32&lt;=DATE(2027,10,1),DATE(2027,10,1)&lt;=DATE(2028,6,1))),'Model inputs'!Y12,"")</f>
      </c>
    </row>
    <row r="1874">
      <c r="A1874" t="inlineStr" s="21">
        <is>
          <t xml:space="preserve">Calculation</t>
        </is>
      </c>
      <c r="B1874">
        <f>IF(IF(AND('Model inputs'!C32&lt;=DATE(2027,11,1),DATE(2027,11,1)&lt;=DATE(2028,6,1))="",FALSE,AND('Model inputs'!C32&lt;=DATE(2027,11,1),DATE(2027,11,1)&lt;=DATE(2028,6,1))),'Model inputs'!Z12,"")</f>
      </c>
    </row>
    <row r="1875">
      <c r="A1875" t="inlineStr" s="21">
        <is>
          <t xml:space="preserve">Calculation</t>
        </is>
      </c>
      <c r="B1875">
        <f>IF(IF(AND('Model inputs'!C32&lt;=DATE(2027,12,1),DATE(2027,12,1)&lt;=DATE(2028,6,1))="",FALSE,AND('Model inputs'!C32&lt;=DATE(2027,12,1),DATE(2027,12,1)&lt;=DATE(2028,6,1))),'Model inputs'!AA12,"")</f>
      </c>
    </row>
    <row r="1876">
      <c r="A1876" t="inlineStr" s="21">
        <is>
          <t xml:space="preserve">Calculation</t>
        </is>
      </c>
      <c r="B1876">
        <f>IF(IF(AND('Model inputs'!C32&lt;=DATE(2028,1,1),DATE(2028,1,1)&lt;=DATE(2028,6,1))="",FALSE,AND('Model inputs'!C32&lt;=DATE(2028,1,1),DATE(2028,1,1)&lt;=DATE(2028,6,1))),'Model inputs'!AB12,"")</f>
      </c>
    </row>
    <row r="1877">
      <c r="A1877" t="inlineStr" s="21">
        <is>
          <t xml:space="preserve">Calculation</t>
        </is>
      </c>
      <c r="B1877">
        <f>IF(IF(AND('Model inputs'!C32&lt;=DATE(2028,2,1),DATE(2028,2,1)&lt;=DATE(2028,6,1))="",FALSE,AND('Model inputs'!C32&lt;=DATE(2028,2,1),DATE(2028,2,1)&lt;=DATE(2028,6,1))),'Model inputs'!AC12,"")</f>
      </c>
    </row>
    <row r="1878">
      <c r="A1878" t="inlineStr" s="21">
        <is>
          <t xml:space="preserve">Calculation</t>
        </is>
      </c>
      <c r="B1878">
        <f>IF(IF(AND('Model inputs'!C32&lt;=DATE(2028,3,1),DATE(2028,3,1)&lt;=DATE(2028,6,1))="",FALSE,AND('Model inputs'!C32&lt;=DATE(2028,3,1),DATE(2028,3,1)&lt;=DATE(2028,6,1))),'Model inputs'!AD12,"")</f>
      </c>
    </row>
    <row r="1879">
      <c r="A1879" t="inlineStr" s="21">
        <is>
          <t xml:space="preserve">Calculation</t>
        </is>
      </c>
      <c r="B1879">
        <f>IF(IF(AND('Model inputs'!C32&lt;=DATE(2028,4,1),DATE(2028,4,1)&lt;=DATE(2028,6,1))="",FALSE,AND('Model inputs'!C32&lt;=DATE(2028,4,1),DATE(2028,4,1)&lt;=DATE(2028,6,1))),'Model inputs'!AE12,"")</f>
      </c>
    </row>
    <row r="1880">
      <c r="A1880" t="inlineStr" s="21">
        <is>
          <t xml:space="preserve">Calculation</t>
        </is>
      </c>
      <c r="B1880">
        <f>IF(IF(AND('Model inputs'!C32&lt;=DATE(2028,5,1),DATE(2028,5,1)&lt;=DATE(2028,6,1))="",FALSE,AND('Model inputs'!C32&lt;=DATE(2028,5,1),DATE(2028,5,1)&lt;=DATE(2028,6,1))),'Model inputs'!AF12,"")</f>
      </c>
    </row>
    <row r="1881">
      <c r="A1881" t="inlineStr" s="21">
        <is>
          <t xml:space="preserve">Calculation</t>
        </is>
      </c>
      <c r="B1881">
        <f>IF(IF(AND('Model inputs'!C32&lt;=DATE(2028,6,1),DATE(2028,6,1)&lt;=DATE(2028,6,1))="",FALSE,AND('Model inputs'!C32&lt;=DATE(2028,6,1),DATE(2028,6,1)&lt;=DATE(2028,6,1))),'Model inputs'!AG12,"")</f>
      </c>
    </row>
    <row r="1882">
      <c r="A1882" t="inlineStr" s="21">
        <is>
          <t xml:space="preserve">Calculation</t>
        </is>
      </c>
      <c r="B1882">
        <f>IF(IF(AND('Model inputs'!C32&lt;=DATE(2028,7,1),DATE(2028,7,1)&lt;=DATE(2028,6,1))="",FALSE,AND('Model inputs'!C32&lt;=DATE(2028,7,1),DATE(2028,7,1)&lt;=DATE(2028,6,1))),'Model inputs'!AH12,"")</f>
      </c>
    </row>
    <row r="1883">
      <c r="A1883" t="inlineStr" s="21">
        <is>
          <t xml:space="preserve">Calculation</t>
        </is>
      </c>
      <c r="B1883">
        <f>IF(IF(AND('Model inputs'!C32&lt;=DATE(2028,8,1),DATE(2028,8,1)&lt;=DATE(2028,6,1))="",FALSE,AND('Model inputs'!C32&lt;=DATE(2028,8,1),DATE(2028,8,1)&lt;=DATE(2028,6,1))),'Model inputs'!AI12,"")</f>
      </c>
    </row>
    <row r="1884">
      <c r="A1884" t="inlineStr" s="21">
        <is>
          <t xml:space="preserve">Calculation</t>
        </is>
      </c>
      <c r="B1884">
        <f>IF(IF(AND('Model inputs'!C32&lt;=DATE(2028,9,1),DATE(2028,9,1)&lt;=DATE(2028,6,1))="",FALSE,AND('Model inputs'!C32&lt;=DATE(2028,9,1),DATE(2028,9,1)&lt;=DATE(2028,6,1))),'Model inputs'!AJ12,"")</f>
      </c>
    </row>
    <row r="1885">
      <c r="A1885" t="inlineStr" s="21">
        <is>
          <t xml:space="preserve">Calculation</t>
        </is>
      </c>
      <c r="B1885">
        <f>IF(AND('Model inputs'!B1852="",'Model inputs'!B1853="",'Model inputs'!B1854="",'Model inputs'!B1855="",'Model inputs'!B1856="",'Model inputs'!B1857="",'Model inputs'!B1858="",'Model inputs'!B1859="",'Model inputs'!B1860="",'Model inputs'!B1861="",'Model inputs'!B1862="",'Model inputs'!B1863="",'Model inputs'!B1864="",'Model inputs'!B1865="",'Model inputs'!B1866="",'Model inputs'!B1867="",'Model inputs'!B1868="",'Model inputs'!B1869="",'Model inputs'!B1870="",'Model inputs'!B1871="",'Model inputs'!B1872="",'Model inputs'!B1873="",'Model inputs'!B1874="",'Model inputs'!B1875="",'Model inputs'!B1876="",'Model inputs'!B1877="",'Model inputs'!B1878="",'Model inputs'!B1879="",'Model inputs'!B1880="",'Model inputs'!B1881="",'Model inputs'!B1882="",'Model inputs'!B1883="",'Model inputs'!B1884=""),"",MIN('Model inputs'!B1852,'Model inputs'!B1853,'Model inputs'!B1854,'Model inputs'!B1855,'Model inputs'!B1856,'Model inputs'!B1857,'Model inputs'!B1858,'Model inputs'!B1859,'Model inputs'!B1860,'Model inputs'!B1861,'Model inputs'!B1862,'Model inputs'!B1863,'Model inputs'!B1864,'Model inputs'!B1865,'Model inputs'!B1866,'Model inputs'!B1867,'Model inputs'!B1868,'Model inputs'!B1869,'Model inputs'!B1870,'Model inputs'!B1871,'Model inputs'!B1872,'Model inputs'!B1873,'Model inputs'!B1874,'Model inputs'!B1875,'Model inputs'!B1876,'Model inputs'!B1877,'Model inputs'!B1878,'Model inputs'!B1879,'Model inputs'!B1880,'Model inputs'!B1881,'Model inputs'!B1882,'Model inputs'!B1883,'Model inputs'!B1884))</f>
      </c>
    </row>
    <row r="1886">
      <c r="A1886" t="inlineStr" s="21">
        <is>
          <t xml:space="preserve">Calculation</t>
        </is>
      </c>
      <c r="B1886">
        <f>IF(IF(AND('Model inputs'!C32&lt;=DATE(2026,1,1),DATE(2026,1,1)&lt;=DATE(2028,7,1))="",FALSE,AND('Model inputs'!C32&lt;=DATE(2026,1,1),DATE(2026,1,1)&lt;=DATE(2028,7,1))),'Model inputs'!D12,"")</f>
      </c>
    </row>
    <row r="1887">
      <c r="A1887" t="inlineStr" s="21">
        <is>
          <t xml:space="preserve">Calculation</t>
        </is>
      </c>
      <c r="B1887">
        <f>IF(IF(AND('Model inputs'!C32&lt;=DATE(2026,2,1),DATE(2026,2,1)&lt;=DATE(2028,7,1))="",FALSE,AND('Model inputs'!C32&lt;=DATE(2026,2,1),DATE(2026,2,1)&lt;=DATE(2028,7,1))),'Model inputs'!E12,"")</f>
      </c>
    </row>
    <row r="1888">
      <c r="A1888" t="inlineStr" s="21">
        <is>
          <t xml:space="preserve">Calculation</t>
        </is>
      </c>
      <c r="B1888">
        <f>IF(IF(AND('Model inputs'!C32&lt;=DATE(2026,3,1),DATE(2026,3,1)&lt;=DATE(2028,7,1))="",FALSE,AND('Model inputs'!C32&lt;=DATE(2026,3,1),DATE(2026,3,1)&lt;=DATE(2028,7,1))),'Model inputs'!F12,"")</f>
      </c>
    </row>
    <row r="1889">
      <c r="A1889" t="inlineStr" s="21">
        <is>
          <t xml:space="preserve">Calculation</t>
        </is>
      </c>
      <c r="B1889">
        <f>IF(IF(AND('Model inputs'!C32&lt;=DATE(2026,4,1),DATE(2026,4,1)&lt;=DATE(2028,7,1))="",FALSE,AND('Model inputs'!C32&lt;=DATE(2026,4,1),DATE(2026,4,1)&lt;=DATE(2028,7,1))),'Model inputs'!G12,"")</f>
      </c>
    </row>
    <row r="1890">
      <c r="A1890" t="inlineStr" s="21">
        <is>
          <t xml:space="preserve">Calculation</t>
        </is>
      </c>
      <c r="B1890">
        <f>IF(IF(AND('Model inputs'!C32&lt;=DATE(2026,5,1),DATE(2026,5,1)&lt;=DATE(2028,7,1))="",FALSE,AND('Model inputs'!C32&lt;=DATE(2026,5,1),DATE(2026,5,1)&lt;=DATE(2028,7,1))),'Model inputs'!H12,"")</f>
      </c>
    </row>
    <row r="1891">
      <c r="A1891" t="inlineStr" s="21">
        <is>
          <t xml:space="preserve">Calculation</t>
        </is>
      </c>
      <c r="B1891">
        <f>IF(IF(AND('Model inputs'!C32&lt;=DATE(2026,6,1),DATE(2026,6,1)&lt;=DATE(2028,7,1))="",FALSE,AND('Model inputs'!C32&lt;=DATE(2026,6,1),DATE(2026,6,1)&lt;=DATE(2028,7,1))),'Model inputs'!I12,"")</f>
      </c>
    </row>
    <row r="1892">
      <c r="A1892" t="inlineStr" s="21">
        <is>
          <t xml:space="preserve">Calculation</t>
        </is>
      </c>
      <c r="B1892">
        <f>IF(IF(AND('Model inputs'!C32&lt;=DATE(2026,7,1),DATE(2026,7,1)&lt;=DATE(2028,7,1))="",FALSE,AND('Model inputs'!C32&lt;=DATE(2026,7,1),DATE(2026,7,1)&lt;=DATE(2028,7,1))),'Model inputs'!J12,"")</f>
      </c>
    </row>
    <row r="1893">
      <c r="A1893" t="inlineStr" s="21">
        <is>
          <t xml:space="preserve">Calculation</t>
        </is>
      </c>
      <c r="B1893">
        <f>IF(IF(AND('Model inputs'!C32&lt;=DATE(2026,8,1),DATE(2026,8,1)&lt;=DATE(2028,7,1))="",FALSE,AND('Model inputs'!C32&lt;=DATE(2026,8,1),DATE(2026,8,1)&lt;=DATE(2028,7,1))),'Model inputs'!K12,"")</f>
      </c>
    </row>
    <row r="1894">
      <c r="A1894" t="inlineStr" s="21">
        <is>
          <t xml:space="preserve">Calculation</t>
        </is>
      </c>
      <c r="B1894">
        <f>IF(IF(AND('Model inputs'!C32&lt;=DATE(2026,9,1),DATE(2026,9,1)&lt;=DATE(2028,7,1))="",FALSE,AND('Model inputs'!C32&lt;=DATE(2026,9,1),DATE(2026,9,1)&lt;=DATE(2028,7,1))),'Model inputs'!L12,"")</f>
      </c>
    </row>
    <row r="1895">
      <c r="A1895" t="inlineStr" s="21">
        <is>
          <t xml:space="preserve">Calculation</t>
        </is>
      </c>
      <c r="B1895">
        <f>IF(IF(AND('Model inputs'!C32&lt;=DATE(2026,10,1),DATE(2026,10,1)&lt;=DATE(2028,7,1))="",FALSE,AND('Model inputs'!C32&lt;=DATE(2026,10,1),DATE(2026,10,1)&lt;=DATE(2028,7,1))),'Model inputs'!M12,"")</f>
      </c>
    </row>
    <row r="1896">
      <c r="A1896" t="inlineStr" s="21">
        <is>
          <t xml:space="preserve">Calculation</t>
        </is>
      </c>
      <c r="B1896">
        <f>IF(IF(AND('Model inputs'!C32&lt;=DATE(2026,11,1),DATE(2026,11,1)&lt;=DATE(2028,7,1))="",FALSE,AND('Model inputs'!C32&lt;=DATE(2026,11,1),DATE(2026,11,1)&lt;=DATE(2028,7,1))),'Model inputs'!N12,"")</f>
      </c>
    </row>
    <row r="1897">
      <c r="A1897" t="inlineStr" s="21">
        <is>
          <t xml:space="preserve">Calculation</t>
        </is>
      </c>
      <c r="B1897">
        <f>IF(IF(AND('Model inputs'!C32&lt;=DATE(2026,12,1),DATE(2026,12,1)&lt;=DATE(2028,7,1))="",FALSE,AND('Model inputs'!C32&lt;=DATE(2026,12,1),DATE(2026,12,1)&lt;=DATE(2028,7,1))),'Model inputs'!O12,"")</f>
      </c>
    </row>
    <row r="1898">
      <c r="A1898" t="inlineStr" s="21">
        <is>
          <t xml:space="preserve">Calculation</t>
        </is>
      </c>
      <c r="B1898">
        <f>IF(IF(AND('Model inputs'!C32&lt;=DATE(2027,1,1),DATE(2027,1,1)&lt;=DATE(2028,7,1))="",FALSE,AND('Model inputs'!C32&lt;=DATE(2027,1,1),DATE(2027,1,1)&lt;=DATE(2028,7,1))),'Model inputs'!P12,"")</f>
      </c>
    </row>
    <row r="1899">
      <c r="A1899" t="inlineStr" s="21">
        <is>
          <t xml:space="preserve">Calculation</t>
        </is>
      </c>
      <c r="B1899">
        <f>IF(IF(AND('Model inputs'!C32&lt;=DATE(2027,2,1),DATE(2027,2,1)&lt;=DATE(2028,7,1))="",FALSE,AND('Model inputs'!C32&lt;=DATE(2027,2,1),DATE(2027,2,1)&lt;=DATE(2028,7,1))),'Model inputs'!Q12,"")</f>
      </c>
    </row>
    <row r="1900">
      <c r="A1900" t="inlineStr" s="21">
        <is>
          <t xml:space="preserve">Calculation</t>
        </is>
      </c>
      <c r="B1900">
        <f>IF(IF(AND('Model inputs'!C32&lt;=DATE(2027,3,1),DATE(2027,3,1)&lt;=DATE(2028,7,1))="",FALSE,AND('Model inputs'!C32&lt;=DATE(2027,3,1),DATE(2027,3,1)&lt;=DATE(2028,7,1))),'Model inputs'!R12,"")</f>
      </c>
    </row>
    <row r="1901">
      <c r="A1901" t="inlineStr" s="21">
        <is>
          <t xml:space="preserve">Calculation</t>
        </is>
      </c>
      <c r="B1901">
        <f>IF(IF(AND('Model inputs'!C32&lt;=DATE(2027,4,1),DATE(2027,4,1)&lt;=DATE(2028,7,1))="",FALSE,AND('Model inputs'!C32&lt;=DATE(2027,4,1),DATE(2027,4,1)&lt;=DATE(2028,7,1))),'Model inputs'!S12,"")</f>
      </c>
    </row>
    <row r="1902">
      <c r="A1902" t="inlineStr" s="21">
        <is>
          <t xml:space="preserve">Calculation</t>
        </is>
      </c>
      <c r="B1902">
        <f>IF(IF(AND('Model inputs'!C32&lt;=DATE(2027,5,1),DATE(2027,5,1)&lt;=DATE(2028,7,1))="",FALSE,AND('Model inputs'!C32&lt;=DATE(2027,5,1),DATE(2027,5,1)&lt;=DATE(2028,7,1))),'Model inputs'!T12,"")</f>
      </c>
    </row>
    <row r="1903">
      <c r="A1903" t="inlineStr" s="21">
        <is>
          <t xml:space="preserve">Calculation</t>
        </is>
      </c>
      <c r="B1903">
        <f>IF(IF(AND('Model inputs'!C32&lt;=DATE(2027,6,1),DATE(2027,6,1)&lt;=DATE(2028,7,1))="",FALSE,AND('Model inputs'!C32&lt;=DATE(2027,6,1),DATE(2027,6,1)&lt;=DATE(2028,7,1))),'Model inputs'!U12,"")</f>
      </c>
    </row>
    <row r="1904">
      <c r="A1904" t="inlineStr" s="21">
        <is>
          <t xml:space="preserve">Calculation</t>
        </is>
      </c>
      <c r="B1904">
        <f>IF(IF(AND('Model inputs'!C32&lt;=DATE(2027,7,1),DATE(2027,7,1)&lt;=DATE(2028,7,1))="",FALSE,AND('Model inputs'!C32&lt;=DATE(2027,7,1),DATE(2027,7,1)&lt;=DATE(2028,7,1))),'Model inputs'!V12,"")</f>
      </c>
    </row>
    <row r="1905">
      <c r="A1905" t="inlineStr" s="21">
        <is>
          <t xml:space="preserve">Calculation</t>
        </is>
      </c>
      <c r="B1905">
        <f>IF(IF(AND('Model inputs'!C32&lt;=DATE(2027,8,1),DATE(2027,8,1)&lt;=DATE(2028,7,1))="",FALSE,AND('Model inputs'!C32&lt;=DATE(2027,8,1),DATE(2027,8,1)&lt;=DATE(2028,7,1))),'Model inputs'!W12,"")</f>
      </c>
    </row>
    <row r="1906">
      <c r="A1906" t="inlineStr" s="21">
        <is>
          <t xml:space="preserve">Calculation</t>
        </is>
      </c>
      <c r="B1906">
        <f>IF(IF(AND('Model inputs'!C32&lt;=DATE(2027,9,1),DATE(2027,9,1)&lt;=DATE(2028,7,1))="",FALSE,AND('Model inputs'!C32&lt;=DATE(2027,9,1),DATE(2027,9,1)&lt;=DATE(2028,7,1))),'Model inputs'!X12,"")</f>
      </c>
    </row>
    <row r="1907">
      <c r="A1907" t="inlineStr" s="21">
        <is>
          <t xml:space="preserve">Calculation</t>
        </is>
      </c>
      <c r="B1907">
        <f>IF(IF(AND('Model inputs'!C32&lt;=DATE(2027,10,1),DATE(2027,10,1)&lt;=DATE(2028,7,1))="",FALSE,AND('Model inputs'!C32&lt;=DATE(2027,10,1),DATE(2027,10,1)&lt;=DATE(2028,7,1))),'Model inputs'!Y12,"")</f>
      </c>
    </row>
    <row r="1908">
      <c r="A1908" t="inlineStr" s="21">
        <is>
          <t xml:space="preserve">Calculation</t>
        </is>
      </c>
      <c r="B1908">
        <f>IF(IF(AND('Model inputs'!C32&lt;=DATE(2027,11,1),DATE(2027,11,1)&lt;=DATE(2028,7,1))="",FALSE,AND('Model inputs'!C32&lt;=DATE(2027,11,1),DATE(2027,11,1)&lt;=DATE(2028,7,1))),'Model inputs'!Z12,"")</f>
      </c>
    </row>
    <row r="1909">
      <c r="A1909" t="inlineStr" s="21">
        <is>
          <t xml:space="preserve">Calculation</t>
        </is>
      </c>
      <c r="B1909">
        <f>IF(IF(AND('Model inputs'!C32&lt;=DATE(2027,12,1),DATE(2027,12,1)&lt;=DATE(2028,7,1))="",FALSE,AND('Model inputs'!C32&lt;=DATE(2027,12,1),DATE(2027,12,1)&lt;=DATE(2028,7,1))),'Model inputs'!AA12,"")</f>
      </c>
    </row>
    <row r="1910">
      <c r="A1910" t="inlineStr" s="21">
        <is>
          <t xml:space="preserve">Calculation</t>
        </is>
      </c>
      <c r="B1910">
        <f>IF(IF(AND('Model inputs'!C32&lt;=DATE(2028,1,1),DATE(2028,1,1)&lt;=DATE(2028,7,1))="",FALSE,AND('Model inputs'!C32&lt;=DATE(2028,1,1),DATE(2028,1,1)&lt;=DATE(2028,7,1))),'Model inputs'!AB12,"")</f>
      </c>
    </row>
    <row r="1911">
      <c r="A1911" t="inlineStr" s="21">
        <is>
          <t xml:space="preserve">Calculation</t>
        </is>
      </c>
      <c r="B1911">
        <f>IF(IF(AND('Model inputs'!C32&lt;=DATE(2028,2,1),DATE(2028,2,1)&lt;=DATE(2028,7,1))="",FALSE,AND('Model inputs'!C32&lt;=DATE(2028,2,1),DATE(2028,2,1)&lt;=DATE(2028,7,1))),'Model inputs'!AC12,"")</f>
      </c>
    </row>
    <row r="1912">
      <c r="A1912" t="inlineStr" s="21">
        <is>
          <t xml:space="preserve">Calculation</t>
        </is>
      </c>
      <c r="B1912">
        <f>IF(IF(AND('Model inputs'!C32&lt;=DATE(2028,3,1),DATE(2028,3,1)&lt;=DATE(2028,7,1))="",FALSE,AND('Model inputs'!C32&lt;=DATE(2028,3,1),DATE(2028,3,1)&lt;=DATE(2028,7,1))),'Model inputs'!AD12,"")</f>
      </c>
    </row>
    <row r="1913">
      <c r="A1913" t="inlineStr" s="21">
        <is>
          <t xml:space="preserve">Calculation</t>
        </is>
      </c>
      <c r="B1913">
        <f>IF(IF(AND('Model inputs'!C32&lt;=DATE(2028,4,1),DATE(2028,4,1)&lt;=DATE(2028,7,1))="",FALSE,AND('Model inputs'!C32&lt;=DATE(2028,4,1),DATE(2028,4,1)&lt;=DATE(2028,7,1))),'Model inputs'!AE12,"")</f>
      </c>
    </row>
    <row r="1914">
      <c r="A1914" t="inlineStr" s="21">
        <is>
          <t xml:space="preserve">Calculation</t>
        </is>
      </c>
      <c r="B1914">
        <f>IF(IF(AND('Model inputs'!C32&lt;=DATE(2028,5,1),DATE(2028,5,1)&lt;=DATE(2028,7,1))="",FALSE,AND('Model inputs'!C32&lt;=DATE(2028,5,1),DATE(2028,5,1)&lt;=DATE(2028,7,1))),'Model inputs'!AF12,"")</f>
      </c>
    </row>
    <row r="1915">
      <c r="A1915" t="inlineStr" s="21">
        <is>
          <t xml:space="preserve">Calculation</t>
        </is>
      </c>
      <c r="B1915">
        <f>IF(IF(AND('Model inputs'!C32&lt;=DATE(2028,6,1),DATE(2028,6,1)&lt;=DATE(2028,7,1))="",FALSE,AND('Model inputs'!C32&lt;=DATE(2028,6,1),DATE(2028,6,1)&lt;=DATE(2028,7,1))),'Model inputs'!AG12,"")</f>
      </c>
    </row>
    <row r="1916">
      <c r="A1916" t="inlineStr" s="21">
        <is>
          <t xml:space="preserve">Calculation</t>
        </is>
      </c>
      <c r="B1916">
        <f>IF(IF(AND('Model inputs'!C32&lt;=DATE(2028,7,1),DATE(2028,7,1)&lt;=DATE(2028,7,1))="",FALSE,AND('Model inputs'!C32&lt;=DATE(2028,7,1),DATE(2028,7,1)&lt;=DATE(2028,7,1))),'Model inputs'!AH12,"")</f>
      </c>
    </row>
    <row r="1917">
      <c r="A1917" t="inlineStr" s="21">
        <is>
          <t xml:space="preserve">Calculation</t>
        </is>
      </c>
      <c r="B1917">
        <f>IF(IF(AND('Model inputs'!C32&lt;=DATE(2028,8,1),DATE(2028,8,1)&lt;=DATE(2028,7,1))="",FALSE,AND('Model inputs'!C32&lt;=DATE(2028,8,1),DATE(2028,8,1)&lt;=DATE(2028,7,1))),'Model inputs'!AI12,"")</f>
      </c>
    </row>
    <row r="1918">
      <c r="A1918" t="inlineStr" s="21">
        <is>
          <t xml:space="preserve">Calculation</t>
        </is>
      </c>
      <c r="B1918">
        <f>IF(IF(AND('Model inputs'!C32&lt;=DATE(2028,9,1),DATE(2028,9,1)&lt;=DATE(2028,7,1))="",FALSE,AND('Model inputs'!C32&lt;=DATE(2028,9,1),DATE(2028,9,1)&lt;=DATE(2028,7,1))),'Model inputs'!AJ12,"")</f>
      </c>
    </row>
    <row r="1919">
      <c r="A1919" t="inlineStr" s="21">
        <is>
          <t xml:space="preserve">Calculation</t>
        </is>
      </c>
      <c r="B1919">
        <f>IF(AND('Model inputs'!B1886="",'Model inputs'!B1887="",'Model inputs'!B1888="",'Model inputs'!B1889="",'Model inputs'!B1890="",'Model inputs'!B1891="",'Model inputs'!B1892="",'Model inputs'!B1893="",'Model inputs'!B1894="",'Model inputs'!B1895="",'Model inputs'!B1896="",'Model inputs'!B1897="",'Model inputs'!B1898="",'Model inputs'!B1899="",'Model inputs'!B1900="",'Model inputs'!B1901="",'Model inputs'!B1902="",'Model inputs'!B1903="",'Model inputs'!B1904="",'Model inputs'!B1905="",'Model inputs'!B1906="",'Model inputs'!B1907="",'Model inputs'!B1908="",'Model inputs'!B1909="",'Model inputs'!B1910="",'Model inputs'!B1911="",'Model inputs'!B1912="",'Model inputs'!B1913="",'Model inputs'!B1914="",'Model inputs'!B1915="",'Model inputs'!B1916="",'Model inputs'!B1917="",'Model inputs'!B1918=""),"",MIN('Model inputs'!B1886,'Model inputs'!B1887,'Model inputs'!B1888,'Model inputs'!B1889,'Model inputs'!B1890,'Model inputs'!B1891,'Model inputs'!B1892,'Model inputs'!B1893,'Model inputs'!B1894,'Model inputs'!B1895,'Model inputs'!B1896,'Model inputs'!B1897,'Model inputs'!B1898,'Model inputs'!B1899,'Model inputs'!B1900,'Model inputs'!B1901,'Model inputs'!B1902,'Model inputs'!B1903,'Model inputs'!B1904,'Model inputs'!B1905,'Model inputs'!B1906,'Model inputs'!B1907,'Model inputs'!B1908,'Model inputs'!B1909,'Model inputs'!B1910,'Model inputs'!B1911,'Model inputs'!B1912,'Model inputs'!B1913,'Model inputs'!B1914,'Model inputs'!B1915,'Model inputs'!B1916,'Model inputs'!B1917,'Model inputs'!B1918))</f>
      </c>
    </row>
    <row r="1920">
      <c r="A1920" t="inlineStr" s="21">
        <is>
          <t xml:space="preserve">Calculation</t>
        </is>
      </c>
      <c r="B1920">
        <f>IF(IF(AND('Model inputs'!C32&lt;=DATE(2026,1,1),DATE(2026,1,1)&lt;=DATE(2028,8,1))="",FALSE,AND('Model inputs'!C32&lt;=DATE(2026,1,1),DATE(2026,1,1)&lt;=DATE(2028,8,1))),'Model inputs'!D12,"")</f>
      </c>
    </row>
    <row r="1921">
      <c r="A1921" t="inlineStr" s="21">
        <is>
          <t xml:space="preserve">Calculation</t>
        </is>
      </c>
      <c r="B1921">
        <f>IF(IF(AND('Model inputs'!C32&lt;=DATE(2026,2,1),DATE(2026,2,1)&lt;=DATE(2028,8,1))="",FALSE,AND('Model inputs'!C32&lt;=DATE(2026,2,1),DATE(2026,2,1)&lt;=DATE(2028,8,1))),'Model inputs'!E12,"")</f>
      </c>
    </row>
    <row r="1922">
      <c r="A1922" t="inlineStr" s="21">
        <is>
          <t xml:space="preserve">Calculation</t>
        </is>
      </c>
      <c r="B1922">
        <f>IF(IF(AND('Model inputs'!C32&lt;=DATE(2026,3,1),DATE(2026,3,1)&lt;=DATE(2028,8,1))="",FALSE,AND('Model inputs'!C32&lt;=DATE(2026,3,1),DATE(2026,3,1)&lt;=DATE(2028,8,1))),'Model inputs'!F12,"")</f>
      </c>
    </row>
    <row r="1923">
      <c r="A1923" t="inlineStr" s="21">
        <is>
          <t xml:space="preserve">Calculation</t>
        </is>
      </c>
      <c r="B1923">
        <f>IF(IF(AND('Model inputs'!C32&lt;=DATE(2026,4,1),DATE(2026,4,1)&lt;=DATE(2028,8,1))="",FALSE,AND('Model inputs'!C32&lt;=DATE(2026,4,1),DATE(2026,4,1)&lt;=DATE(2028,8,1))),'Model inputs'!G12,"")</f>
      </c>
    </row>
    <row r="1924">
      <c r="A1924" t="inlineStr" s="21">
        <is>
          <t xml:space="preserve">Calculation</t>
        </is>
      </c>
      <c r="B1924">
        <f>IF(IF(AND('Model inputs'!C32&lt;=DATE(2026,5,1),DATE(2026,5,1)&lt;=DATE(2028,8,1))="",FALSE,AND('Model inputs'!C32&lt;=DATE(2026,5,1),DATE(2026,5,1)&lt;=DATE(2028,8,1))),'Model inputs'!H12,"")</f>
      </c>
    </row>
    <row r="1925">
      <c r="A1925" t="inlineStr" s="21">
        <is>
          <t xml:space="preserve">Calculation</t>
        </is>
      </c>
      <c r="B1925">
        <f>IF(IF(AND('Model inputs'!C32&lt;=DATE(2026,6,1),DATE(2026,6,1)&lt;=DATE(2028,8,1))="",FALSE,AND('Model inputs'!C32&lt;=DATE(2026,6,1),DATE(2026,6,1)&lt;=DATE(2028,8,1))),'Model inputs'!I12,"")</f>
      </c>
    </row>
    <row r="1926">
      <c r="A1926" t="inlineStr" s="21">
        <is>
          <t xml:space="preserve">Calculation</t>
        </is>
      </c>
      <c r="B1926">
        <f>IF(IF(AND('Model inputs'!C32&lt;=DATE(2026,7,1),DATE(2026,7,1)&lt;=DATE(2028,8,1))="",FALSE,AND('Model inputs'!C32&lt;=DATE(2026,7,1),DATE(2026,7,1)&lt;=DATE(2028,8,1))),'Model inputs'!J12,"")</f>
      </c>
    </row>
    <row r="1927">
      <c r="A1927" t="inlineStr" s="21">
        <is>
          <t xml:space="preserve">Calculation</t>
        </is>
      </c>
      <c r="B1927">
        <f>IF(IF(AND('Model inputs'!C32&lt;=DATE(2026,8,1),DATE(2026,8,1)&lt;=DATE(2028,8,1))="",FALSE,AND('Model inputs'!C32&lt;=DATE(2026,8,1),DATE(2026,8,1)&lt;=DATE(2028,8,1))),'Model inputs'!K12,"")</f>
      </c>
    </row>
    <row r="1928">
      <c r="A1928" t="inlineStr" s="21">
        <is>
          <t xml:space="preserve">Calculation</t>
        </is>
      </c>
      <c r="B1928">
        <f>IF(IF(AND('Model inputs'!C32&lt;=DATE(2026,9,1),DATE(2026,9,1)&lt;=DATE(2028,8,1))="",FALSE,AND('Model inputs'!C32&lt;=DATE(2026,9,1),DATE(2026,9,1)&lt;=DATE(2028,8,1))),'Model inputs'!L12,"")</f>
      </c>
    </row>
    <row r="1929">
      <c r="A1929" t="inlineStr" s="21">
        <is>
          <t xml:space="preserve">Calculation</t>
        </is>
      </c>
      <c r="B1929">
        <f>IF(IF(AND('Model inputs'!C32&lt;=DATE(2026,10,1),DATE(2026,10,1)&lt;=DATE(2028,8,1))="",FALSE,AND('Model inputs'!C32&lt;=DATE(2026,10,1),DATE(2026,10,1)&lt;=DATE(2028,8,1))),'Model inputs'!M12,"")</f>
      </c>
    </row>
    <row r="1930">
      <c r="A1930" t="inlineStr" s="21">
        <is>
          <t xml:space="preserve">Calculation</t>
        </is>
      </c>
      <c r="B1930">
        <f>IF(IF(AND('Model inputs'!C32&lt;=DATE(2026,11,1),DATE(2026,11,1)&lt;=DATE(2028,8,1))="",FALSE,AND('Model inputs'!C32&lt;=DATE(2026,11,1),DATE(2026,11,1)&lt;=DATE(2028,8,1))),'Model inputs'!N12,"")</f>
      </c>
    </row>
    <row r="1931">
      <c r="A1931" t="inlineStr" s="21">
        <is>
          <t xml:space="preserve">Calculation</t>
        </is>
      </c>
      <c r="B1931">
        <f>IF(IF(AND('Model inputs'!C32&lt;=DATE(2026,12,1),DATE(2026,12,1)&lt;=DATE(2028,8,1))="",FALSE,AND('Model inputs'!C32&lt;=DATE(2026,12,1),DATE(2026,12,1)&lt;=DATE(2028,8,1))),'Model inputs'!O12,"")</f>
      </c>
    </row>
    <row r="1932">
      <c r="A1932" t="inlineStr" s="21">
        <is>
          <t xml:space="preserve">Calculation</t>
        </is>
      </c>
      <c r="B1932">
        <f>IF(IF(AND('Model inputs'!C32&lt;=DATE(2027,1,1),DATE(2027,1,1)&lt;=DATE(2028,8,1))="",FALSE,AND('Model inputs'!C32&lt;=DATE(2027,1,1),DATE(2027,1,1)&lt;=DATE(2028,8,1))),'Model inputs'!P12,"")</f>
      </c>
    </row>
    <row r="1933">
      <c r="A1933" t="inlineStr" s="21">
        <is>
          <t xml:space="preserve">Calculation</t>
        </is>
      </c>
      <c r="B1933">
        <f>IF(IF(AND('Model inputs'!C32&lt;=DATE(2027,2,1),DATE(2027,2,1)&lt;=DATE(2028,8,1))="",FALSE,AND('Model inputs'!C32&lt;=DATE(2027,2,1),DATE(2027,2,1)&lt;=DATE(2028,8,1))),'Model inputs'!Q12,"")</f>
      </c>
    </row>
    <row r="1934">
      <c r="A1934" t="inlineStr" s="21">
        <is>
          <t xml:space="preserve">Calculation</t>
        </is>
      </c>
      <c r="B1934">
        <f>IF(IF(AND('Model inputs'!C32&lt;=DATE(2027,3,1),DATE(2027,3,1)&lt;=DATE(2028,8,1))="",FALSE,AND('Model inputs'!C32&lt;=DATE(2027,3,1),DATE(2027,3,1)&lt;=DATE(2028,8,1))),'Model inputs'!R12,"")</f>
      </c>
    </row>
    <row r="1935">
      <c r="A1935" t="inlineStr" s="21">
        <is>
          <t xml:space="preserve">Calculation</t>
        </is>
      </c>
      <c r="B1935">
        <f>IF(IF(AND('Model inputs'!C32&lt;=DATE(2027,4,1),DATE(2027,4,1)&lt;=DATE(2028,8,1))="",FALSE,AND('Model inputs'!C32&lt;=DATE(2027,4,1),DATE(2027,4,1)&lt;=DATE(2028,8,1))),'Model inputs'!S12,"")</f>
      </c>
    </row>
    <row r="1936">
      <c r="A1936" t="inlineStr" s="21">
        <is>
          <t xml:space="preserve">Calculation</t>
        </is>
      </c>
      <c r="B1936">
        <f>IF(IF(AND('Model inputs'!C32&lt;=DATE(2027,5,1),DATE(2027,5,1)&lt;=DATE(2028,8,1))="",FALSE,AND('Model inputs'!C32&lt;=DATE(2027,5,1),DATE(2027,5,1)&lt;=DATE(2028,8,1))),'Model inputs'!T12,"")</f>
      </c>
    </row>
    <row r="1937">
      <c r="A1937" t="inlineStr" s="21">
        <is>
          <t xml:space="preserve">Calculation</t>
        </is>
      </c>
      <c r="B1937">
        <f>IF(IF(AND('Model inputs'!C32&lt;=DATE(2027,6,1),DATE(2027,6,1)&lt;=DATE(2028,8,1))="",FALSE,AND('Model inputs'!C32&lt;=DATE(2027,6,1),DATE(2027,6,1)&lt;=DATE(2028,8,1))),'Model inputs'!U12,"")</f>
      </c>
    </row>
    <row r="1938">
      <c r="A1938" t="inlineStr" s="21">
        <is>
          <t xml:space="preserve">Calculation</t>
        </is>
      </c>
      <c r="B1938">
        <f>IF(IF(AND('Model inputs'!C32&lt;=DATE(2027,7,1),DATE(2027,7,1)&lt;=DATE(2028,8,1))="",FALSE,AND('Model inputs'!C32&lt;=DATE(2027,7,1),DATE(2027,7,1)&lt;=DATE(2028,8,1))),'Model inputs'!V12,"")</f>
      </c>
    </row>
    <row r="1939">
      <c r="A1939" t="inlineStr" s="21">
        <is>
          <t xml:space="preserve">Calculation</t>
        </is>
      </c>
      <c r="B1939">
        <f>IF(IF(AND('Model inputs'!C32&lt;=DATE(2027,8,1),DATE(2027,8,1)&lt;=DATE(2028,8,1))="",FALSE,AND('Model inputs'!C32&lt;=DATE(2027,8,1),DATE(2027,8,1)&lt;=DATE(2028,8,1))),'Model inputs'!W12,"")</f>
      </c>
    </row>
    <row r="1940">
      <c r="A1940" t="inlineStr" s="21">
        <is>
          <t xml:space="preserve">Calculation</t>
        </is>
      </c>
      <c r="B1940">
        <f>IF(IF(AND('Model inputs'!C32&lt;=DATE(2027,9,1),DATE(2027,9,1)&lt;=DATE(2028,8,1))="",FALSE,AND('Model inputs'!C32&lt;=DATE(2027,9,1),DATE(2027,9,1)&lt;=DATE(2028,8,1))),'Model inputs'!X12,"")</f>
      </c>
    </row>
    <row r="1941">
      <c r="A1941" t="inlineStr" s="21">
        <is>
          <t xml:space="preserve">Calculation</t>
        </is>
      </c>
      <c r="B1941">
        <f>IF(IF(AND('Model inputs'!C32&lt;=DATE(2027,10,1),DATE(2027,10,1)&lt;=DATE(2028,8,1))="",FALSE,AND('Model inputs'!C32&lt;=DATE(2027,10,1),DATE(2027,10,1)&lt;=DATE(2028,8,1))),'Model inputs'!Y12,"")</f>
      </c>
    </row>
    <row r="1942">
      <c r="A1942" t="inlineStr" s="21">
        <is>
          <t xml:space="preserve">Calculation</t>
        </is>
      </c>
      <c r="B1942">
        <f>IF(IF(AND('Model inputs'!C32&lt;=DATE(2027,11,1),DATE(2027,11,1)&lt;=DATE(2028,8,1))="",FALSE,AND('Model inputs'!C32&lt;=DATE(2027,11,1),DATE(2027,11,1)&lt;=DATE(2028,8,1))),'Model inputs'!Z12,"")</f>
      </c>
    </row>
    <row r="1943">
      <c r="A1943" t="inlineStr" s="21">
        <is>
          <t xml:space="preserve">Calculation</t>
        </is>
      </c>
      <c r="B1943">
        <f>IF(IF(AND('Model inputs'!C32&lt;=DATE(2027,12,1),DATE(2027,12,1)&lt;=DATE(2028,8,1))="",FALSE,AND('Model inputs'!C32&lt;=DATE(2027,12,1),DATE(2027,12,1)&lt;=DATE(2028,8,1))),'Model inputs'!AA12,"")</f>
      </c>
    </row>
    <row r="1944">
      <c r="A1944" t="inlineStr" s="21">
        <is>
          <t xml:space="preserve">Calculation</t>
        </is>
      </c>
      <c r="B1944">
        <f>IF(IF(AND('Model inputs'!C32&lt;=DATE(2028,1,1),DATE(2028,1,1)&lt;=DATE(2028,8,1))="",FALSE,AND('Model inputs'!C32&lt;=DATE(2028,1,1),DATE(2028,1,1)&lt;=DATE(2028,8,1))),'Model inputs'!AB12,"")</f>
      </c>
    </row>
    <row r="1945">
      <c r="A1945" t="inlineStr" s="21">
        <is>
          <t xml:space="preserve">Calculation</t>
        </is>
      </c>
      <c r="B1945">
        <f>IF(IF(AND('Model inputs'!C32&lt;=DATE(2028,2,1),DATE(2028,2,1)&lt;=DATE(2028,8,1))="",FALSE,AND('Model inputs'!C32&lt;=DATE(2028,2,1),DATE(2028,2,1)&lt;=DATE(2028,8,1))),'Model inputs'!AC12,"")</f>
      </c>
    </row>
    <row r="1946">
      <c r="A1946" t="inlineStr" s="21">
        <is>
          <t xml:space="preserve">Calculation</t>
        </is>
      </c>
      <c r="B1946">
        <f>IF(IF(AND('Model inputs'!C32&lt;=DATE(2028,3,1),DATE(2028,3,1)&lt;=DATE(2028,8,1))="",FALSE,AND('Model inputs'!C32&lt;=DATE(2028,3,1),DATE(2028,3,1)&lt;=DATE(2028,8,1))),'Model inputs'!AD12,"")</f>
      </c>
    </row>
    <row r="1947">
      <c r="A1947" t="inlineStr" s="21">
        <is>
          <t xml:space="preserve">Calculation</t>
        </is>
      </c>
      <c r="B1947">
        <f>IF(IF(AND('Model inputs'!C32&lt;=DATE(2028,4,1),DATE(2028,4,1)&lt;=DATE(2028,8,1))="",FALSE,AND('Model inputs'!C32&lt;=DATE(2028,4,1),DATE(2028,4,1)&lt;=DATE(2028,8,1))),'Model inputs'!AE12,"")</f>
      </c>
    </row>
    <row r="1948">
      <c r="A1948" t="inlineStr" s="21">
        <is>
          <t xml:space="preserve">Calculation</t>
        </is>
      </c>
      <c r="B1948">
        <f>IF(IF(AND('Model inputs'!C32&lt;=DATE(2028,5,1),DATE(2028,5,1)&lt;=DATE(2028,8,1))="",FALSE,AND('Model inputs'!C32&lt;=DATE(2028,5,1),DATE(2028,5,1)&lt;=DATE(2028,8,1))),'Model inputs'!AF12,"")</f>
      </c>
    </row>
    <row r="1949">
      <c r="A1949" t="inlineStr" s="21">
        <is>
          <t xml:space="preserve">Calculation</t>
        </is>
      </c>
      <c r="B1949">
        <f>IF(IF(AND('Model inputs'!C32&lt;=DATE(2028,6,1),DATE(2028,6,1)&lt;=DATE(2028,8,1))="",FALSE,AND('Model inputs'!C32&lt;=DATE(2028,6,1),DATE(2028,6,1)&lt;=DATE(2028,8,1))),'Model inputs'!AG12,"")</f>
      </c>
    </row>
    <row r="1950">
      <c r="A1950" t="inlineStr" s="21">
        <is>
          <t xml:space="preserve">Calculation</t>
        </is>
      </c>
      <c r="B1950">
        <f>IF(IF(AND('Model inputs'!C32&lt;=DATE(2028,7,1),DATE(2028,7,1)&lt;=DATE(2028,8,1))="",FALSE,AND('Model inputs'!C32&lt;=DATE(2028,7,1),DATE(2028,7,1)&lt;=DATE(2028,8,1))),'Model inputs'!AH12,"")</f>
      </c>
    </row>
    <row r="1951">
      <c r="A1951" t="inlineStr" s="21">
        <is>
          <t xml:space="preserve">Calculation</t>
        </is>
      </c>
      <c r="B1951">
        <f>IF(IF(AND('Model inputs'!C32&lt;=DATE(2028,8,1),DATE(2028,8,1)&lt;=DATE(2028,8,1))="",FALSE,AND('Model inputs'!C32&lt;=DATE(2028,8,1),DATE(2028,8,1)&lt;=DATE(2028,8,1))),'Model inputs'!AI12,"")</f>
      </c>
    </row>
    <row r="1952">
      <c r="A1952" t="inlineStr" s="21">
        <is>
          <t xml:space="preserve">Calculation</t>
        </is>
      </c>
      <c r="B1952">
        <f>IF(IF(AND('Model inputs'!C32&lt;=DATE(2028,9,1),DATE(2028,9,1)&lt;=DATE(2028,8,1))="",FALSE,AND('Model inputs'!C32&lt;=DATE(2028,9,1),DATE(2028,9,1)&lt;=DATE(2028,8,1))),'Model inputs'!AJ12,"")</f>
      </c>
    </row>
    <row r="1953">
      <c r="A1953" t="inlineStr" s="21">
        <is>
          <t xml:space="preserve">Calculation</t>
        </is>
      </c>
      <c r="B1953">
        <f>IF(AND('Model inputs'!B1920="",'Model inputs'!B1921="",'Model inputs'!B1922="",'Model inputs'!B1923="",'Model inputs'!B1924="",'Model inputs'!B1925="",'Model inputs'!B1926="",'Model inputs'!B1927="",'Model inputs'!B1928="",'Model inputs'!B1929="",'Model inputs'!B1930="",'Model inputs'!B1931="",'Model inputs'!B1932="",'Model inputs'!B1933="",'Model inputs'!B1934="",'Model inputs'!B1935="",'Model inputs'!B1936="",'Model inputs'!B1937="",'Model inputs'!B1938="",'Model inputs'!B1939="",'Model inputs'!B1940="",'Model inputs'!B1941="",'Model inputs'!B1942="",'Model inputs'!B1943="",'Model inputs'!B1944="",'Model inputs'!B1945="",'Model inputs'!B1946="",'Model inputs'!B1947="",'Model inputs'!B1948="",'Model inputs'!B1949="",'Model inputs'!B1950="",'Model inputs'!B1951="",'Model inputs'!B1952=""),"",MIN('Model inputs'!B1920,'Model inputs'!B1921,'Model inputs'!B1922,'Model inputs'!B1923,'Model inputs'!B1924,'Model inputs'!B1925,'Model inputs'!B1926,'Model inputs'!B1927,'Model inputs'!B1928,'Model inputs'!B1929,'Model inputs'!B1930,'Model inputs'!B1931,'Model inputs'!B1932,'Model inputs'!B1933,'Model inputs'!B1934,'Model inputs'!B1935,'Model inputs'!B1936,'Model inputs'!B1937,'Model inputs'!B1938,'Model inputs'!B1939,'Model inputs'!B1940,'Model inputs'!B1941,'Model inputs'!B1942,'Model inputs'!B1943,'Model inputs'!B1944,'Model inputs'!B1945,'Model inputs'!B1946,'Model inputs'!B1947,'Model inputs'!B1948,'Model inputs'!B1949,'Model inputs'!B1950,'Model inputs'!B1951,'Model inputs'!B1952))</f>
      </c>
    </row>
    <row r="1954">
      <c r="A1954" t="inlineStr" s="21">
        <is>
          <t xml:space="preserve">Calculation</t>
        </is>
      </c>
      <c r="B1954">
        <f>IF(IF(AND('Model inputs'!C32&lt;=DATE(2026,1,1),DATE(2026,1,1)&lt;=DATE(2028,9,1))="",FALSE,AND('Model inputs'!C32&lt;=DATE(2026,1,1),DATE(2026,1,1)&lt;=DATE(2028,9,1))),'Model inputs'!D12,"")</f>
      </c>
    </row>
    <row r="1955">
      <c r="A1955" t="inlineStr" s="21">
        <is>
          <t xml:space="preserve">Calculation</t>
        </is>
      </c>
      <c r="B1955">
        <f>IF(IF(AND('Model inputs'!C32&lt;=DATE(2026,2,1),DATE(2026,2,1)&lt;=DATE(2028,9,1))="",FALSE,AND('Model inputs'!C32&lt;=DATE(2026,2,1),DATE(2026,2,1)&lt;=DATE(2028,9,1))),'Model inputs'!E12,"")</f>
      </c>
    </row>
    <row r="1956">
      <c r="A1956" t="inlineStr" s="21">
        <is>
          <t xml:space="preserve">Calculation</t>
        </is>
      </c>
      <c r="B1956">
        <f>IF(IF(AND('Model inputs'!C32&lt;=DATE(2026,3,1),DATE(2026,3,1)&lt;=DATE(2028,9,1))="",FALSE,AND('Model inputs'!C32&lt;=DATE(2026,3,1),DATE(2026,3,1)&lt;=DATE(2028,9,1))),'Model inputs'!F12,"")</f>
      </c>
    </row>
    <row r="1957">
      <c r="A1957" t="inlineStr" s="21">
        <is>
          <t xml:space="preserve">Calculation</t>
        </is>
      </c>
      <c r="B1957">
        <f>IF(IF(AND('Model inputs'!C32&lt;=DATE(2026,4,1),DATE(2026,4,1)&lt;=DATE(2028,9,1))="",FALSE,AND('Model inputs'!C32&lt;=DATE(2026,4,1),DATE(2026,4,1)&lt;=DATE(2028,9,1))),'Model inputs'!G12,"")</f>
      </c>
    </row>
    <row r="1958">
      <c r="A1958" t="inlineStr" s="21">
        <is>
          <t xml:space="preserve">Calculation</t>
        </is>
      </c>
      <c r="B1958">
        <f>IF(IF(AND('Model inputs'!C32&lt;=DATE(2026,5,1),DATE(2026,5,1)&lt;=DATE(2028,9,1))="",FALSE,AND('Model inputs'!C32&lt;=DATE(2026,5,1),DATE(2026,5,1)&lt;=DATE(2028,9,1))),'Model inputs'!H12,"")</f>
      </c>
    </row>
    <row r="1959">
      <c r="A1959" t="inlineStr" s="21">
        <is>
          <t xml:space="preserve">Calculation</t>
        </is>
      </c>
      <c r="B1959">
        <f>IF(IF(AND('Model inputs'!C32&lt;=DATE(2026,6,1),DATE(2026,6,1)&lt;=DATE(2028,9,1))="",FALSE,AND('Model inputs'!C32&lt;=DATE(2026,6,1),DATE(2026,6,1)&lt;=DATE(2028,9,1))),'Model inputs'!I12,"")</f>
      </c>
    </row>
    <row r="1960">
      <c r="A1960" t="inlineStr" s="21">
        <is>
          <t xml:space="preserve">Calculation</t>
        </is>
      </c>
      <c r="B1960">
        <f>IF(IF(AND('Model inputs'!C32&lt;=DATE(2026,7,1),DATE(2026,7,1)&lt;=DATE(2028,9,1))="",FALSE,AND('Model inputs'!C32&lt;=DATE(2026,7,1),DATE(2026,7,1)&lt;=DATE(2028,9,1))),'Model inputs'!J12,"")</f>
      </c>
    </row>
    <row r="1961">
      <c r="A1961" t="inlineStr" s="21">
        <is>
          <t xml:space="preserve">Calculation</t>
        </is>
      </c>
      <c r="B1961">
        <f>IF(IF(AND('Model inputs'!C32&lt;=DATE(2026,8,1),DATE(2026,8,1)&lt;=DATE(2028,9,1))="",FALSE,AND('Model inputs'!C32&lt;=DATE(2026,8,1),DATE(2026,8,1)&lt;=DATE(2028,9,1))),'Model inputs'!K12,"")</f>
      </c>
    </row>
    <row r="1962">
      <c r="A1962" t="inlineStr" s="21">
        <is>
          <t xml:space="preserve">Calculation</t>
        </is>
      </c>
      <c r="B1962">
        <f>IF(IF(AND('Model inputs'!C32&lt;=DATE(2026,9,1),DATE(2026,9,1)&lt;=DATE(2028,9,1))="",FALSE,AND('Model inputs'!C32&lt;=DATE(2026,9,1),DATE(2026,9,1)&lt;=DATE(2028,9,1))),'Model inputs'!L12,"")</f>
      </c>
    </row>
    <row r="1963">
      <c r="A1963" t="inlineStr" s="21">
        <is>
          <t xml:space="preserve">Calculation</t>
        </is>
      </c>
      <c r="B1963">
        <f>IF(IF(AND('Model inputs'!C32&lt;=DATE(2026,10,1),DATE(2026,10,1)&lt;=DATE(2028,9,1))="",FALSE,AND('Model inputs'!C32&lt;=DATE(2026,10,1),DATE(2026,10,1)&lt;=DATE(2028,9,1))),'Model inputs'!M12,"")</f>
      </c>
    </row>
    <row r="1964">
      <c r="A1964" t="inlineStr" s="21">
        <is>
          <t xml:space="preserve">Calculation</t>
        </is>
      </c>
      <c r="B1964">
        <f>IF(IF(AND('Model inputs'!C32&lt;=DATE(2026,11,1),DATE(2026,11,1)&lt;=DATE(2028,9,1))="",FALSE,AND('Model inputs'!C32&lt;=DATE(2026,11,1),DATE(2026,11,1)&lt;=DATE(2028,9,1))),'Model inputs'!N12,"")</f>
      </c>
    </row>
    <row r="1965">
      <c r="A1965" t="inlineStr" s="21">
        <is>
          <t xml:space="preserve">Calculation</t>
        </is>
      </c>
      <c r="B1965">
        <f>IF(IF(AND('Model inputs'!C32&lt;=DATE(2026,12,1),DATE(2026,12,1)&lt;=DATE(2028,9,1))="",FALSE,AND('Model inputs'!C32&lt;=DATE(2026,12,1),DATE(2026,12,1)&lt;=DATE(2028,9,1))),'Model inputs'!O12,"")</f>
      </c>
    </row>
    <row r="1966">
      <c r="A1966" t="inlineStr" s="21">
        <is>
          <t xml:space="preserve">Calculation</t>
        </is>
      </c>
      <c r="B1966">
        <f>IF(IF(AND('Model inputs'!C32&lt;=DATE(2027,1,1),DATE(2027,1,1)&lt;=DATE(2028,9,1))="",FALSE,AND('Model inputs'!C32&lt;=DATE(2027,1,1),DATE(2027,1,1)&lt;=DATE(2028,9,1))),'Model inputs'!P12,"")</f>
      </c>
    </row>
    <row r="1967">
      <c r="A1967" t="inlineStr" s="21">
        <is>
          <t xml:space="preserve">Calculation</t>
        </is>
      </c>
      <c r="B1967">
        <f>IF(IF(AND('Model inputs'!C32&lt;=DATE(2027,2,1),DATE(2027,2,1)&lt;=DATE(2028,9,1))="",FALSE,AND('Model inputs'!C32&lt;=DATE(2027,2,1),DATE(2027,2,1)&lt;=DATE(2028,9,1))),'Model inputs'!Q12,"")</f>
      </c>
    </row>
    <row r="1968">
      <c r="A1968" t="inlineStr" s="21">
        <is>
          <t xml:space="preserve">Calculation</t>
        </is>
      </c>
      <c r="B1968">
        <f>IF(IF(AND('Model inputs'!C32&lt;=DATE(2027,3,1),DATE(2027,3,1)&lt;=DATE(2028,9,1))="",FALSE,AND('Model inputs'!C32&lt;=DATE(2027,3,1),DATE(2027,3,1)&lt;=DATE(2028,9,1))),'Model inputs'!R12,"")</f>
      </c>
    </row>
    <row r="1969">
      <c r="A1969" t="inlineStr" s="21">
        <is>
          <t xml:space="preserve">Calculation</t>
        </is>
      </c>
      <c r="B1969">
        <f>IF(IF(AND('Model inputs'!C32&lt;=DATE(2027,4,1),DATE(2027,4,1)&lt;=DATE(2028,9,1))="",FALSE,AND('Model inputs'!C32&lt;=DATE(2027,4,1),DATE(2027,4,1)&lt;=DATE(2028,9,1))),'Model inputs'!S12,"")</f>
      </c>
    </row>
    <row r="1970">
      <c r="A1970" t="inlineStr" s="21">
        <is>
          <t xml:space="preserve">Calculation</t>
        </is>
      </c>
      <c r="B1970">
        <f>IF(IF(AND('Model inputs'!C32&lt;=DATE(2027,5,1),DATE(2027,5,1)&lt;=DATE(2028,9,1))="",FALSE,AND('Model inputs'!C32&lt;=DATE(2027,5,1),DATE(2027,5,1)&lt;=DATE(2028,9,1))),'Model inputs'!T12,"")</f>
      </c>
    </row>
    <row r="1971">
      <c r="A1971" t="inlineStr" s="21">
        <is>
          <t xml:space="preserve">Calculation</t>
        </is>
      </c>
      <c r="B1971">
        <f>IF(IF(AND('Model inputs'!C32&lt;=DATE(2027,6,1),DATE(2027,6,1)&lt;=DATE(2028,9,1))="",FALSE,AND('Model inputs'!C32&lt;=DATE(2027,6,1),DATE(2027,6,1)&lt;=DATE(2028,9,1))),'Model inputs'!U12,"")</f>
      </c>
    </row>
    <row r="1972">
      <c r="A1972" t="inlineStr" s="21">
        <is>
          <t xml:space="preserve">Calculation</t>
        </is>
      </c>
      <c r="B1972">
        <f>IF(IF(AND('Model inputs'!C32&lt;=DATE(2027,7,1),DATE(2027,7,1)&lt;=DATE(2028,9,1))="",FALSE,AND('Model inputs'!C32&lt;=DATE(2027,7,1),DATE(2027,7,1)&lt;=DATE(2028,9,1))),'Model inputs'!V12,"")</f>
      </c>
    </row>
    <row r="1973">
      <c r="A1973" t="inlineStr" s="21">
        <is>
          <t xml:space="preserve">Calculation</t>
        </is>
      </c>
      <c r="B1973">
        <f>IF(IF(AND('Model inputs'!C32&lt;=DATE(2027,8,1),DATE(2027,8,1)&lt;=DATE(2028,9,1))="",FALSE,AND('Model inputs'!C32&lt;=DATE(2027,8,1),DATE(2027,8,1)&lt;=DATE(2028,9,1))),'Model inputs'!W12,"")</f>
      </c>
    </row>
    <row r="1974">
      <c r="A1974" t="inlineStr" s="21">
        <is>
          <t xml:space="preserve">Calculation</t>
        </is>
      </c>
      <c r="B1974">
        <f>IF(IF(AND('Model inputs'!C32&lt;=DATE(2027,9,1),DATE(2027,9,1)&lt;=DATE(2028,9,1))="",FALSE,AND('Model inputs'!C32&lt;=DATE(2027,9,1),DATE(2027,9,1)&lt;=DATE(2028,9,1))),'Model inputs'!X12,"")</f>
      </c>
    </row>
    <row r="1975">
      <c r="A1975" t="inlineStr" s="21">
        <is>
          <t xml:space="preserve">Calculation</t>
        </is>
      </c>
      <c r="B1975">
        <f>IF(IF(AND('Model inputs'!C32&lt;=DATE(2027,10,1),DATE(2027,10,1)&lt;=DATE(2028,9,1))="",FALSE,AND('Model inputs'!C32&lt;=DATE(2027,10,1),DATE(2027,10,1)&lt;=DATE(2028,9,1))),'Model inputs'!Y12,"")</f>
      </c>
    </row>
    <row r="1976">
      <c r="A1976" t="inlineStr" s="21">
        <is>
          <t xml:space="preserve">Calculation</t>
        </is>
      </c>
      <c r="B1976">
        <f>IF(IF(AND('Model inputs'!C32&lt;=DATE(2027,11,1),DATE(2027,11,1)&lt;=DATE(2028,9,1))="",FALSE,AND('Model inputs'!C32&lt;=DATE(2027,11,1),DATE(2027,11,1)&lt;=DATE(2028,9,1))),'Model inputs'!Z12,"")</f>
      </c>
    </row>
    <row r="1977">
      <c r="A1977" t="inlineStr" s="21">
        <is>
          <t xml:space="preserve">Calculation</t>
        </is>
      </c>
      <c r="B1977">
        <f>IF(IF(AND('Model inputs'!C32&lt;=DATE(2027,12,1),DATE(2027,12,1)&lt;=DATE(2028,9,1))="",FALSE,AND('Model inputs'!C32&lt;=DATE(2027,12,1),DATE(2027,12,1)&lt;=DATE(2028,9,1))),'Model inputs'!AA12,"")</f>
      </c>
    </row>
    <row r="1978">
      <c r="A1978" t="inlineStr" s="21">
        <is>
          <t xml:space="preserve">Calculation</t>
        </is>
      </c>
      <c r="B1978">
        <f>IF(IF(AND('Model inputs'!C32&lt;=DATE(2028,1,1),DATE(2028,1,1)&lt;=DATE(2028,9,1))="",FALSE,AND('Model inputs'!C32&lt;=DATE(2028,1,1),DATE(2028,1,1)&lt;=DATE(2028,9,1))),'Model inputs'!AB12,"")</f>
      </c>
    </row>
    <row r="1979">
      <c r="A1979" t="inlineStr" s="21">
        <is>
          <t xml:space="preserve">Calculation</t>
        </is>
      </c>
      <c r="B1979">
        <f>IF(IF(AND('Model inputs'!C32&lt;=DATE(2028,2,1),DATE(2028,2,1)&lt;=DATE(2028,9,1))="",FALSE,AND('Model inputs'!C32&lt;=DATE(2028,2,1),DATE(2028,2,1)&lt;=DATE(2028,9,1))),'Model inputs'!AC12,"")</f>
      </c>
    </row>
    <row r="1980">
      <c r="A1980" t="inlineStr" s="21">
        <is>
          <t xml:space="preserve">Calculation</t>
        </is>
      </c>
      <c r="B1980">
        <f>IF(IF(AND('Model inputs'!C32&lt;=DATE(2028,3,1),DATE(2028,3,1)&lt;=DATE(2028,9,1))="",FALSE,AND('Model inputs'!C32&lt;=DATE(2028,3,1),DATE(2028,3,1)&lt;=DATE(2028,9,1))),'Model inputs'!AD12,"")</f>
      </c>
    </row>
    <row r="1981">
      <c r="A1981" t="inlineStr" s="21">
        <is>
          <t xml:space="preserve">Calculation</t>
        </is>
      </c>
      <c r="B1981">
        <f>IF(IF(AND('Model inputs'!C32&lt;=DATE(2028,4,1),DATE(2028,4,1)&lt;=DATE(2028,9,1))="",FALSE,AND('Model inputs'!C32&lt;=DATE(2028,4,1),DATE(2028,4,1)&lt;=DATE(2028,9,1))),'Model inputs'!AE12,"")</f>
      </c>
    </row>
    <row r="1982">
      <c r="A1982" t="inlineStr" s="21">
        <is>
          <t xml:space="preserve">Calculation</t>
        </is>
      </c>
      <c r="B1982">
        <f>IF(IF(AND('Model inputs'!C32&lt;=DATE(2028,5,1),DATE(2028,5,1)&lt;=DATE(2028,9,1))="",FALSE,AND('Model inputs'!C32&lt;=DATE(2028,5,1),DATE(2028,5,1)&lt;=DATE(2028,9,1))),'Model inputs'!AF12,"")</f>
      </c>
    </row>
    <row r="1983">
      <c r="A1983" t="inlineStr" s="21">
        <is>
          <t xml:space="preserve">Calculation</t>
        </is>
      </c>
      <c r="B1983">
        <f>IF(IF(AND('Model inputs'!C32&lt;=DATE(2028,6,1),DATE(2028,6,1)&lt;=DATE(2028,9,1))="",FALSE,AND('Model inputs'!C32&lt;=DATE(2028,6,1),DATE(2028,6,1)&lt;=DATE(2028,9,1))),'Model inputs'!AG12,"")</f>
      </c>
    </row>
    <row r="1984">
      <c r="A1984" t="inlineStr" s="21">
        <is>
          <t xml:space="preserve">Calculation</t>
        </is>
      </c>
      <c r="B1984">
        <f>IF(IF(AND('Model inputs'!C32&lt;=DATE(2028,7,1),DATE(2028,7,1)&lt;=DATE(2028,9,1))="",FALSE,AND('Model inputs'!C32&lt;=DATE(2028,7,1),DATE(2028,7,1)&lt;=DATE(2028,9,1))),'Model inputs'!AH12,"")</f>
      </c>
    </row>
    <row r="1985">
      <c r="A1985" t="inlineStr" s="21">
        <is>
          <t xml:space="preserve">Calculation</t>
        </is>
      </c>
      <c r="B1985">
        <f>IF(IF(AND('Model inputs'!C32&lt;=DATE(2028,8,1),DATE(2028,8,1)&lt;=DATE(2028,9,1))="",FALSE,AND('Model inputs'!C32&lt;=DATE(2028,8,1),DATE(2028,8,1)&lt;=DATE(2028,9,1))),'Model inputs'!AI12,"")</f>
      </c>
    </row>
    <row r="1986">
      <c r="A1986" t="inlineStr" s="21">
        <is>
          <t xml:space="preserve">Calculation</t>
        </is>
      </c>
      <c r="B1986">
        <f>IF(IF(AND('Model inputs'!C32&lt;=DATE(2028,9,1),DATE(2028,9,1)&lt;=DATE(2028,9,1))="",FALSE,AND('Model inputs'!C32&lt;=DATE(2028,9,1),DATE(2028,9,1)&lt;=DATE(2028,9,1))),'Model inputs'!AJ12,"")</f>
      </c>
    </row>
    <row r="1987">
      <c r="A1987" t="inlineStr" s="21">
        <is>
          <t xml:space="preserve">Calculation</t>
        </is>
      </c>
      <c r="B1987">
        <f>IF(AND('Model inputs'!B1954="",'Model inputs'!B1955="",'Model inputs'!B1956="",'Model inputs'!B1957="",'Model inputs'!B1958="",'Model inputs'!B1959="",'Model inputs'!B1960="",'Model inputs'!B1961="",'Model inputs'!B1962="",'Model inputs'!B1963="",'Model inputs'!B1964="",'Model inputs'!B1965="",'Model inputs'!B1966="",'Model inputs'!B1967="",'Model inputs'!B1968="",'Model inputs'!B1969="",'Model inputs'!B1970="",'Model inputs'!B1971="",'Model inputs'!B1972="",'Model inputs'!B1973="",'Model inputs'!B1974="",'Model inputs'!B1975="",'Model inputs'!B1976="",'Model inputs'!B1977="",'Model inputs'!B1978="",'Model inputs'!B1979="",'Model inputs'!B1980="",'Model inputs'!B1981="",'Model inputs'!B1982="",'Model inputs'!B1983="",'Model inputs'!B1984="",'Model inputs'!B1985="",'Model inputs'!B1986=""),"",MIN('Model inputs'!B1954,'Model inputs'!B1955,'Model inputs'!B1956,'Model inputs'!B1957,'Model inputs'!B1958,'Model inputs'!B1959,'Model inputs'!B1960,'Model inputs'!B1961,'Model inputs'!B1962,'Model inputs'!B1963,'Model inputs'!B1964,'Model inputs'!B1965,'Model inputs'!B1966,'Model inputs'!B1967,'Model inputs'!B1968,'Model inputs'!B1969,'Model inputs'!B1970,'Model inputs'!B1971,'Model inputs'!B1972,'Model inputs'!B1973,'Model inputs'!B1974,'Model inputs'!B1975,'Model inputs'!B1976,'Model inputs'!B1977,'Model inputs'!B1978,'Model inputs'!B1979,'Model inputs'!B1980,'Model inputs'!B1981,'Model inputs'!B1982,'Model inputs'!B1983,'Model inputs'!B1984,'Model inputs'!B1985,'Model inputs'!B1986))</f>
      </c>
    </row>
  </sheetData>
  <mergeCells count="2">
    <mergeCell ref="A1:AJ1"/>
    <mergeCell ref="A2:AJ2"/>
  </mergeCells>
</worksheet>
</file>